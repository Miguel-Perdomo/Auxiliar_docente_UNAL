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\home\miguel_perdomo\Auxiliar_docente_UNAL\Laboratorio_de_mecanica_y_ondas_para_biociencias_2026-2\Notas\"/>
    </mc:Choice>
  </mc:AlternateContent>
  <xr:revisionPtr revIDLastSave="0" documentId="13_ncr:1_{172A5A04-52D5-44D5-95CC-940520FB8E79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Instrucciones" sheetId="1" r:id="rId1"/>
    <sheet name="Notas" sheetId="2" r:id="rId2"/>
    <sheet name="Resumen" sheetId="3" r:id="rId3"/>
    <sheet name="Configuración" sheetId="4" r:id="rId4"/>
  </sheets>
  <definedNames>
    <definedName name="_xlnm._FilterDatabase" localSheetId="1" hidden="1">Notas!$A$3:$AG$33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4" i="2" l="1"/>
  <c r="R34" i="2"/>
  <c r="AA34" i="2"/>
  <c r="AD34" i="2"/>
  <c r="AF34" i="2"/>
  <c r="AG34" i="2"/>
  <c r="B8" i="4"/>
  <c r="C8" i="4" s="1"/>
  <c r="F14" i="3"/>
  <c r="E14" i="3"/>
  <c r="F13" i="3"/>
  <c r="E13" i="3"/>
  <c r="E12" i="3"/>
  <c r="E11" i="3"/>
  <c r="E10" i="3"/>
  <c r="E9" i="3"/>
  <c r="E8" i="3"/>
  <c r="E7" i="3"/>
  <c r="E6" i="3"/>
  <c r="E5" i="3"/>
  <c r="B4" i="3"/>
  <c r="AE35" i="2"/>
  <c r="AC35" i="2"/>
  <c r="AB35" i="2"/>
  <c r="Z35" i="2"/>
  <c r="Y35" i="2"/>
  <c r="X35" i="2"/>
  <c r="W35" i="2"/>
  <c r="V35" i="2"/>
  <c r="U35" i="2"/>
  <c r="T35" i="2"/>
  <c r="S35" i="2"/>
  <c r="Q35" i="2"/>
  <c r="P35" i="2"/>
  <c r="N35" i="2"/>
  <c r="M35" i="2"/>
  <c r="L35" i="2"/>
  <c r="K35" i="2"/>
  <c r="J35" i="2"/>
  <c r="I35" i="2"/>
  <c r="H35" i="2"/>
  <c r="G35" i="2"/>
  <c r="F35" i="2"/>
  <c r="E35" i="2"/>
  <c r="AD33" i="2"/>
  <c r="AA33" i="2"/>
  <c r="R33" i="2"/>
  <c r="O33" i="2"/>
  <c r="AD32" i="2"/>
  <c r="AA32" i="2"/>
  <c r="R32" i="2"/>
  <c r="O32" i="2"/>
  <c r="AD31" i="2"/>
  <c r="AA31" i="2"/>
  <c r="R31" i="2"/>
  <c r="O31" i="2"/>
  <c r="AD30" i="2"/>
  <c r="AA30" i="2"/>
  <c r="R30" i="2"/>
  <c r="O30" i="2"/>
  <c r="AD29" i="2"/>
  <c r="AA29" i="2"/>
  <c r="R29" i="2"/>
  <c r="O29" i="2"/>
  <c r="AF29" i="2" s="1"/>
  <c r="AG29" i="2" s="1"/>
  <c r="AD28" i="2"/>
  <c r="AA28" i="2"/>
  <c r="R28" i="2"/>
  <c r="O28" i="2"/>
  <c r="AD27" i="2"/>
  <c r="AA27" i="2"/>
  <c r="R27" i="2"/>
  <c r="O27" i="2"/>
  <c r="AF27" i="2" s="1"/>
  <c r="AG27" i="2" s="1"/>
  <c r="AD26" i="2"/>
  <c r="AA26" i="2"/>
  <c r="R26" i="2"/>
  <c r="O26" i="2"/>
  <c r="AD25" i="2"/>
  <c r="AA25" i="2"/>
  <c r="R25" i="2"/>
  <c r="O25" i="2"/>
  <c r="AD24" i="2"/>
  <c r="AA24" i="2"/>
  <c r="R24" i="2"/>
  <c r="O24" i="2"/>
  <c r="AD23" i="2"/>
  <c r="AA23" i="2"/>
  <c r="R23" i="2"/>
  <c r="O23" i="2"/>
  <c r="AF23" i="2" s="1"/>
  <c r="AG23" i="2" s="1"/>
  <c r="AD22" i="2"/>
  <c r="AA22" i="2"/>
  <c r="R22" i="2"/>
  <c r="O22" i="2"/>
  <c r="AD21" i="2"/>
  <c r="AA21" i="2"/>
  <c r="R21" i="2"/>
  <c r="O21" i="2"/>
  <c r="AF21" i="2" s="1"/>
  <c r="AG21" i="2" s="1"/>
  <c r="AD20" i="2"/>
  <c r="AA20" i="2"/>
  <c r="R20" i="2"/>
  <c r="O20" i="2"/>
  <c r="AD19" i="2"/>
  <c r="AA19" i="2"/>
  <c r="R19" i="2"/>
  <c r="O19" i="2"/>
  <c r="AD18" i="2"/>
  <c r="AA18" i="2"/>
  <c r="R18" i="2"/>
  <c r="O18" i="2"/>
  <c r="AD17" i="2"/>
  <c r="AA17" i="2"/>
  <c r="R17" i="2"/>
  <c r="O17" i="2"/>
  <c r="AF17" i="2" s="1"/>
  <c r="AD16" i="2"/>
  <c r="AA16" i="2"/>
  <c r="R16" i="2"/>
  <c r="O16" i="2"/>
  <c r="AD15" i="2"/>
  <c r="AA15" i="2"/>
  <c r="R15" i="2"/>
  <c r="O15" i="2"/>
  <c r="AF15" i="2" s="1"/>
  <c r="AG15" i="2" s="1"/>
  <c r="AD14" i="2"/>
  <c r="AA14" i="2"/>
  <c r="R14" i="2"/>
  <c r="O14" i="2"/>
  <c r="AD13" i="2"/>
  <c r="AA13" i="2"/>
  <c r="R13" i="2"/>
  <c r="O13" i="2"/>
  <c r="AD12" i="2"/>
  <c r="AA12" i="2"/>
  <c r="R12" i="2"/>
  <c r="O12" i="2"/>
  <c r="AD11" i="2"/>
  <c r="AA11" i="2"/>
  <c r="R11" i="2"/>
  <c r="O11" i="2"/>
  <c r="AF11" i="2" s="1"/>
  <c r="AG11" i="2" s="1"/>
  <c r="AD10" i="2"/>
  <c r="AA10" i="2"/>
  <c r="R10" i="2"/>
  <c r="O10" i="2"/>
  <c r="AD9" i="2"/>
  <c r="AA9" i="2"/>
  <c r="R9" i="2"/>
  <c r="O9" i="2"/>
  <c r="AD8" i="2"/>
  <c r="AA8" i="2"/>
  <c r="R8" i="2"/>
  <c r="O8" i="2"/>
  <c r="AD7" i="2"/>
  <c r="AA7" i="2"/>
  <c r="R7" i="2"/>
  <c r="O7" i="2"/>
  <c r="AD6" i="2"/>
  <c r="AA6" i="2"/>
  <c r="R6" i="2"/>
  <c r="O6" i="2"/>
  <c r="AD5" i="2"/>
  <c r="AA5" i="2"/>
  <c r="R5" i="2"/>
  <c r="O5" i="2"/>
  <c r="AD4" i="2"/>
  <c r="AD35" i="2" s="1"/>
  <c r="AA4" i="2"/>
  <c r="R4" i="2"/>
  <c r="O4" i="2"/>
  <c r="AF9" i="2" l="1"/>
  <c r="AF33" i="2"/>
  <c r="AG33" i="2" s="1"/>
  <c r="AF22" i="2"/>
  <c r="AG22" i="2" s="1"/>
  <c r="AF5" i="2"/>
  <c r="AF26" i="2"/>
  <c r="AG26" i="2" s="1"/>
  <c r="AF7" i="2"/>
  <c r="AG7" i="2" s="1"/>
  <c r="AF13" i="2"/>
  <c r="AG13" i="2" s="1"/>
  <c r="AF19" i="2"/>
  <c r="AG19" i="2" s="1"/>
  <c r="AF25" i="2"/>
  <c r="AG25" i="2" s="1"/>
  <c r="AF31" i="2"/>
  <c r="AG31" i="2" s="1"/>
  <c r="AG5" i="2"/>
  <c r="AG9" i="2"/>
  <c r="AG17" i="2"/>
  <c r="AF28" i="2"/>
  <c r="AG28" i="2" s="1"/>
  <c r="AF18" i="2"/>
  <c r="AA35" i="2"/>
  <c r="AF24" i="2"/>
  <c r="AG24" i="2" s="1"/>
  <c r="AF8" i="2"/>
  <c r="AG8" i="2" s="1"/>
  <c r="AF14" i="2"/>
  <c r="AG14" i="2" s="1"/>
  <c r="F10" i="3"/>
  <c r="AF30" i="2"/>
  <c r="AG30" i="2" s="1"/>
  <c r="AF20" i="2"/>
  <c r="O35" i="2"/>
  <c r="AF6" i="2"/>
  <c r="AG6" i="2" s="1"/>
  <c r="AF12" i="2"/>
  <c r="AG12" i="2" s="1"/>
  <c r="B17" i="3"/>
  <c r="AF32" i="2"/>
  <c r="AG32" i="2" s="1"/>
  <c r="AF4" i="2"/>
  <c r="F11" i="3" s="1"/>
  <c r="B19" i="3"/>
  <c r="B20" i="3"/>
  <c r="AF10" i="2"/>
  <c r="AG10" i="2" s="1"/>
  <c r="AF16" i="2"/>
  <c r="AG16" i="2" s="1"/>
  <c r="B18" i="3"/>
  <c r="R35" i="2"/>
  <c r="F5" i="3" l="1"/>
  <c r="AG20" i="2"/>
  <c r="F7" i="3"/>
  <c r="F8" i="3"/>
  <c r="AG4" i="2"/>
  <c r="B6" i="3"/>
  <c r="E19" i="3"/>
  <c r="AG18" i="2"/>
  <c r="F12" i="3"/>
  <c r="E23" i="3"/>
  <c r="AF35" i="2"/>
  <c r="F9" i="3"/>
  <c r="E21" i="3"/>
  <c r="B7" i="3"/>
  <c r="E18" i="3"/>
  <c r="B8" i="3"/>
  <c r="E20" i="3"/>
  <c r="B9" i="3"/>
  <c r="E22" i="3"/>
  <c r="B5" i="3"/>
  <c r="F6" i="3"/>
  <c r="B10" i="3"/>
  <c r="AG35" i="2"/>
  <c r="B13" i="3"/>
  <c r="B12" i="3"/>
  <c r="B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100-000001000000}">
      <text>
        <r>
          <rPr>
            <sz val="10"/>
            <rFont val="Arial"/>
            <family val="2"/>
          </rPr>
          <t>Apellidos, Nombres</t>
        </r>
      </text>
    </comment>
    <comment ref="C3" authorId="0" shapeId="0" xr:uid="{00000000-0006-0000-0100-000002000000}">
      <text>
        <r>
          <rPr>
            <sz val="10"/>
            <rFont val="Arial"/>
            <family val="2"/>
          </rPr>
          <t>@unal.edu.co</t>
        </r>
      </text>
    </comment>
    <comment ref="D3" authorId="0" shapeId="0" xr:uid="{00000000-0006-0000-0100-000003000000}">
      <text>
        <r>
          <rPr>
            <sz val="10"/>
            <rFont val="Arial"/>
            <family val="2"/>
          </rPr>
          <t>1, 2, 3 ...</t>
        </r>
      </text>
    </comment>
    <comment ref="E3" authorId="0" shapeId="0" xr:uid="{00000000-0006-0000-0100-000004000000}">
      <text>
        <r>
          <rPr>
            <sz val="10"/>
            <rFont val="Arial"/>
            <family val="2"/>
          </rPr>
          <t>22/09 P1 Plano Inclinado</t>
        </r>
      </text>
    </comment>
    <comment ref="F3" authorId="0" shapeId="0" xr:uid="{00000000-0006-0000-0100-000005000000}">
      <text>
        <r>
          <rPr>
            <sz val="10"/>
            <rFont val="Arial"/>
            <family val="2"/>
          </rPr>
          <t>29/09 P2 Conserv. Energía</t>
        </r>
      </text>
    </comment>
    <comment ref="G3" authorId="0" shapeId="0" xr:uid="{00000000-0006-0000-0100-000006000000}">
      <text>
        <r>
          <rPr>
            <sz val="10"/>
            <rFont val="Arial"/>
            <family val="2"/>
          </rPr>
          <t>06/10 P3 Ley de Hooke</t>
        </r>
      </text>
    </comment>
    <comment ref="H3" authorId="0" shapeId="0" xr:uid="{00000000-0006-0000-0100-000007000000}">
      <text>
        <r>
          <rPr>
            <sz val="10"/>
            <rFont val="Arial"/>
            <family val="2"/>
          </rPr>
          <t>13/10 P4 Torques</t>
        </r>
      </text>
    </comment>
    <comment ref="I3" authorId="0" shapeId="0" xr:uid="{00000000-0006-0000-0100-000008000000}">
      <text>
        <r>
          <rPr>
            <sz val="10"/>
            <rFont val="Arial"/>
            <family val="2"/>
          </rPr>
          <t>20/10 P5 Densidades</t>
        </r>
      </text>
    </comment>
    <comment ref="J3" authorId="0" shapeId="0" xr:uid="{00000000-0006-0000-0100-000009000000}">
      <text>
        <r>
          <rPr>
            <sz val="10"/>
            <rFont val="Arial"/>
            <family val="2"/>
          </rPr>
          <t>27/10 P6 Calor Específico</t>
        </r>
      </text>
    </comment>
    <comment ref="K3" authorId="0" shapeId="0" xr:uid="{00000000-0006-0000-0100-00000A000000}">
      <text>
        <r>
          <rPr>
            <sz val="10"/>
            <rFont val="Arial"/>
            <family val="2"/>
          </rPr>
          <t>03/11 P7 Oscil. Resorte</t>
        </r>
      </text>
    </comment>
    <comment ref="L3" authorId="0" shapeId="0" xr:uid="{00000000-0006-0000-0100-00000B000000}">
      <text>
        <r>
          <rPr>
            <sz val="10"/>
            <rFont val="Arial"/>
            <family val="2"/>
          </rPr>
          <t>10/11 P8 Péndulo Simple</t>
        </r>
      </text>
    </comment>
    <comment ref="M3" authorId="0" shapeId="0" xr:uid="{00000000-0006-0000-0100-00000C000000}">
      <text>
        <r>
          <rPr>
            <sz val="10"/>
            <rFont val="Arial"/>
            <family val="2"/>
          </rPr>
          <t>17/11 P9 Péndulo Físico</t>
        </r>
      </text>
    </comment>
    <comment ref="N3" authorId="0" shapeId="0" xr:uid="{00000000-0006-0000-0100-00000D000000}">
      <text>
        <r>
          <rPr>
            <sz val="10"/>
            <rFont val="Arial"/>
            <family val="2"/>
          </rPr>
          <t>24/11 P10 Ondas en Agua</t>
        </r>
      </text>
    </comment>
    <comment ref="O3" authorId="0" shapeId="0" xr:uid="{00000000-0006-0000-0100-00000E000000}">
      <text>
        <r>
          <rPr>
            <sz val="10"/>
            <rFont val="Arial"/>
            <family val="2"/>
          </rPr>
          <t>10 %</t>
        </r>
      </text>
    </comment>
    <comment ref="P3" authorId="0" shapeId="0" xr:uid="{00000000-0006-0000-0100-00000F000000}">
      <text>
        <r>
          <rPr>
            <sz val="10"/>
            <rFont val="Arial"/>
            <family val="2"/>
          </rPr>
          <t>08/09 Gaussiana e Incert.</t>
        </r>
      </text>
    </comment>
    <comment ref="Q3" authorId="0" shapeId="0" xr:uid="{00000000-0006-0000-0100-000010000000}">
      <text>
        <r>
          <rPr>
            <sz val="10"/>
            <rFont val="Arial"/>
            <family val="2"/>
          </rPr>
          <t>15/09 Estadística y Gráf.</t>
        </r>
      </text>
    </comment>
    <comment ref="R3" authorId="0" shapeId="0" xr:uid="{00000000-0006-0000-0100-000011000000}">
      <text>
        <r>
          <rPr>
            <sz val="10"/>
            <rFont val="Arial"/>
            <family val="2"/>
          </rPr>
          <t>10 %</t>
        </r>
      </text>
    </comment>
    <comment ref="S3" authorId="0" shapeId="0" xr:uid="{00000000-0006-0000-0100-000012000000}">
      <text>
        <r>
          <rPr>
            <sz val="10"/>
            <rFont val="Arial"/>
            <family val="2"/>
          </rPr>
          <t>22/09 Plano Inclinado</t>
        </r>
      </text>
    </comment>
    <comment ref="T3" authorId="0" shapeId="0" xr:uid="{00000000-0006-0000-0100-000013000000}">
      <text>
        <r>
          <rPr>
            <sz val="10"/>
            <rFont val="Arial"/>
            <family val="2"/>
          </rPr>
          <t>29/09 Conserv. Energía</t>
        </r>
      </text>
    </comment>
    <comment ref="U3" authorId="0" shapeId="0" xr:uid="{00000000-0006-0000-0100-000014000000}">
      <text>
        <r>
          <rPr>
            <sz val="10"/>
            <rFont val="Arial"/>
            <family val="2"/>
          </rPr>
          <t>06/10 Ley de Hooke</t>
        </r>
      </text>
    </comment>
    <comment ref="V3" authorId="0" shapeId="0" xr:uid="{00000000-0006-0000-0100-000015000000}">
      <text>
        <r>
          <rPr>
            <sz val="10"/>
            <rFont val="Arial"/>
            <family val="2"/>
          </rPr>
          <t>20/10 Densidades</t>
        </r>
      </text>
    </comment>
    <comment ref="W3" authorId="0" shapeId="0" xr:uid="{00000000-0006-0000-0100-000016000000}">
      <text>
        <r>
          <rPr>
            <sz val="10"/>
            <rFont val="Arial"/>
            <family val="2"/>
          </rPr>
          <t>27/10 Calor Específico</t>
        </r>
      </text>
    </comment>
    <comment ref="X3" authorId="0" shapeId="0" xr:uid="{00000000-0006-0000-0100-000017000000}">
      <text>
        <r>
          <rPr>
            <sz val="10"/>
            <rFont val="Arial"/>
            <family val="2"/>
          </rPr>
          <t>03/11 Oscil. Resorte</t>
        </r>
      </text>
    </comment>
    <comment ref="Y3" authorId="0" shapeId="0" xr:uid="{00000000-0006-0000-0100-000018000000}">
      <text>
        <r>
          <rPr>
            <sz val="10"/>
            <rFont val="Arial"/>
            <family val="2"/>
          </rPr>
          <t>10/11 Péndulo Simple</t>
        </r>
      </text>
    </comment>
    <comment ref="Z3" authorId="0" shapeId="0" xr:uid="{00000000-0006-0000-0100-000019000000}">
      <text>
        <r>
          <rPr>
            <sz val="10"/>
            <rFont val="Arial"/>
            <family val="2"/>
          </rPr>
          <t>24/11 Ondas en Agua</t>
        </r>
      </text>
    </comment>
    <comment ref="AA3" authorId="0" shapeId="0" xr:uid="{00000000-0006-0000-0100-00001A000000}">
      <text>
        <r>
          <rPr>
            <sz val="10"/>
            <rFont val="Arial"/>
            <family val="2"/>
          </rPr>
          <t>50 %</t>
        </r>
      </text>
    </comment>
    <comment ref="AB3" authorId="0" shapeId="0" xr:uid="{00000000-0006-0000-0100-00001B000000}">
      <text>
        <r>
          <rPr>
            <sz val="10"/>
            <rFont val="Arial"/>
            <family val="2"/>
          </rPr>
          <t>13/10 Torques</t>
        </r>
      </text>
    </comment>
    <comment ref="AC3" authorId="0" shapeId="0" xr:uid="{00000000-0006-0000-0100-00001C000000}">
      <text>
        <r>
          <rPr>
            <sz val="10"/>
            <rFont val="Arial"/>
            <family val="2"/>
          </rPr>
          <t>17/11 Péndulo Físico</t>
        </r>
      </text>
    </comment>
    <comment ref="AD3" authorId="0" shapeId="0" xr:uid="{00000000-0006-0000-0100-00001D000000}">
      <text>
        <r>
          <rPr>
            <sz val="10"/>
            <rFont val="Arial"/>
            <family val="2"/>
          </rPr>
          <t>30 %</t>
        </r>
      </text>
    </comment>
    <comment ref="AE3" authorId="0" shapeId="0" xr:uid="{00000000-0006-0000-0100-00001E000000}">
      <text>
        <r>
          <rPr>
            <sz val="10"/>
            <rFont val="Arial"/>
            <family val="2"/>
          </rPr>
          <t>% sesiones</t>
        </r>
      </text>
    </comment>
    <comment ref="AF3" authorId="0" shapeId="0" xr:uid="{00000000-0006-0000-0100-00001F000000}">
      <text>
        <r>
          <rPr>
            <sz val="10"/>
            <rFont val="Arial"/>
            <family val="2"/>
          </rPr>
          <t>0.0 – 5.0</t>
        </r>
      </text>
    </comment>
  </commentList>
</comments>
</file>

<file path=xl/sharedStrings.xml><?xml version="1.0" encoding="utf-8"?>
<sst xmlns="http://schemas.openxmlformats.org/spreadsheetml/2006/main" count="201" uniqueCount="198">
  <si>
    <t>CÓMO USAR ESTE LIBRO</t>
  </si>
  <si>
    <t>LEYENDA DE COLORES</t>
  </si>
  <si>
    <t>Fondo crema, texto azul</t>
  </si>
  <si>
    <t>Celdas que USTED diligencia: Grupo, notas y asistencia.</t>
  </si>
  <si>
    <t>Fondo azul claro</t>
  </si>
  <si>
    <t>Promedios calculados automáticamente. No los edite.</t>
  </si>
  <si>
    <t>Fondo verde</t>
  </si>
  <si>
    <t>Nota final ponderada. No la edite.</t>
  </si>
  <si>
    <t>Fondo blanco/verde tenue</t>
  </si>
  <si>
    <t>Datos de identificación del estudiante.</t>
  </si>
  <si>
    <t>QUÉ DILIGENCIAR</t>
  </si>
  <si>
    <t>Columna Grupo</t>
  </si>
  <si>
    <t>Escriba el número de grupo (1, 2, 3...) de cada estudiante. Habilita el filtro y las estadísticas por grupo.</t>
  </si>
  <si>
    <t>Columnas Q1 a Q10</t>
  </si>
  <si>
    <t>Nota de cada quiz de lectura previa, de 0.0 a 5.0. Se aplican al inicio de cada sesión de práctica.</t>
  </si>
  <si>
    <t>Columnas T1 y T2</t>
  </si>
  <si>
    <t>Talleres de fundamentación (semanas 2 y 3).</t>
  </si>
  <si>
    <t>Columnas B1 a B8</t>
  </si>
  <si>
    <t>Bitácoras de laboratorio. Misma nota para todo el grupo.</t>
  </si>
  <si>
    <t>Columnas I1 e I2</t>
  </si>
  <si>
    <t>Informes formales. Misma nota para todo el grupo.</t>
  </si>
  <si>
    <t>Columna Asistencia</t>
  </si>
  <si>
    <t>Fracción de sesiones asistidas: escriba 0.9 para 90 %. Viene precargada en 100 %.</t>
  </si>
  <si>
    <t>EJEMPLO DE UNA FILA DILIGENCIADA</t>
  </si>
  <si>
    <t>Grupo</t>
  </si>
  <si>
    <t>3</t>
  </si>
  <si>
    <t>Q1 ... Q10</t>
  </si>
  <si>
    <t>4.5   3.8   5.0   (vacío)   ...   — deje en blanco lo no evaluado</t>
  </si>
  <si>
    <t>T1 / T2</t>
  </si>
  <si>
    <t>4.2   3.9</t>
  </si>
  <si>
    <t>B1 ... B8</t>
  </si>
  <si>
    <t>4.0   4.3   (vacío) ...</t>
  </si>
  <si>
    <t>I1 / I2</t>
  </si>
  <si>
    <t>(vacío)   (vacío)</t>
  </si>
  <si>
    <t>Asistencia</t>
  </si>
  <si>
    <t>0.9   (se muestra como 90 %)</t>
  </si>
  <si>
    <t>Resultado</t>
  </si>
  <si>
    <t>La nota final se calcula sola, usando solo los componentes que ya tengan datos.</t>
  </si>
  <si>
    <t>NOTAS IMPORTANTES</t>
  </si>
  <si>
    <t>Nota parcial</t>
  </si>
  <si>
    <t>Mientras falten componentes, la NOTA FINAL es un promedio ponderado de lo ya registrado (nota parcial del curso).</t>
  </si>
  <si>
    <t>Celdas en blanco</t>
  </si>
  <si>
    <t>Una casilla vacía NO cuenta como cero: simplemente se excluye del promedio. Escriba 0.0 si la nota es cero.</t>
  </si>
  <si>
    <t>Entregas tardías</t>
  </si>
  <si>
    <t>El descuento de la hoja Configuración se aplica a mano al digitar la nota.</t>
  </si>
  <si>
    <t>Filtros</t>
  </si>
  <si>
    <t>Fila 3 de la hoja Notas. Filtre por Grupo o por Estado.</t>
  </si>
  <si>
    <t>Pesos</t>
  </si>
  <si>
    <t>Se editan en la hoja Configuración; toda la hoja Notas se recalcula automáticamente.</t>
  </si>
  <si>
    <t>LABORATORIO DE MECÁNICA Y ONDAS PARA BIOCIENCIAS (1000023) — GRUPO 4</t>
  </si>
  <si>
    <t>#</t>
  </si>
  <si>
    <t>Estudiante</t>
  </si>
  <si>
    <t>Correo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</si>
  <si>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</si>
  <si>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</si>
  <si>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</si>
  <si>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</si>
  <si>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</si>
  <si>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</si>
  <si>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</si>
  <si>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</si>
  <si>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</si>
  <si>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</si>
  <si>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Prom. Quices</t>
  </si>
  <si>
    <t>T1</t>
  </si>
  <si>
    <t>T2</t>
  </si>
  <si>
    <t>Prom. Talleres</t>
  </si>
  <si>
    <t>B1</t>
  </si>
  <si>
    <t>B2</t>
  </si>
  <si>
    <t>B3</t>
  </si>
  <si>
    <t>B4</t>
  </si>
  <si>
    <t>B5</t>
  </si>
  <si>
    <t>B6</t>
  </si>
  <si>
    <t>B7</t>
  </si>
  <si>
    <t>B8</t>
  </si>
  <si>
    <t>Prom. Bitácoras</t>
  </si>
  <si>
    <t>I1</t>
  </si>
  <si>
    <t>I2</t>
  </si>
  <si>
    <t>Prom. Informes</t>
  </si>
  <si>
    <t>NOTA FINAL</t>
  </si>
  <si>
    <t>Estado</t>
  </si>
  <si>
    <t>BARRAGÁN HERNÁNDEZ, María Sofía</t>
  </si>
  <si>
    <t>mbarraganh@unal.edu.co</t>
  </si>
  <si>
    <t>BARRAGAN PEREZ, Danna Sofia</t>
  </si>
  <si>
    <t>dbarraganp@unal.edu.co</t>
  </si>
  <si>
    <t>BETANCOURT GÓMEZ, Manuela</t>
  </si>
  <si>
    <t>mabetancourtgo@unal.edu.co</t>
  </si>
  <si>
    <t>BONILLA CHAPARRO, Maria Paula</t>
  </si>
  <si>
    <t>mbonillach@unal.edu.co</t>
  </si>
  <si>
    <t>BRAVO RIVERA, Elizabeth Yomary</t>
  </si>
  <si>
    <t>elbravor@unal.edu.co</t>
  </si>
  <si>
    <t>BUITRAGO JEREZ, Mariana Valentina</t>
  </si>
  <si>
    <t>mbuitragoj@unal.edu.co</t>
  </si>
  <si>
    <t>CASTILLO CUSBA, Andres Santiago</t>
  </si>
  <si>
    <t>ancastillocu@unal.edu.co</t>
  </si>
  <si>
    <t>CESPEDES MONDRAGON, Danna Camila</t>
  </si>
  <si>
    <t>dcespedesm@unal.edu.co</t>
  </si>
  <si>
    <t>ENRIQUEZ MORILLO, Sarita Alejandra</t>
  </si>
  <si>
    <t>senriquezm@unal.edu.co</t>
  </si>
  <si>
    <t>ESPINEL CARRILLO, Valeria</t>
  </si>
  <si>
    <t>vespinelc@unal.edu.co</t>
  </si>
  <si>
    <t>GARZON MOGOLLON, Maria Paula</t>
  </si>
  <si>
    <t>magarzonmo@unal.edu.co</t>
  </si>
  <si>
    <t>GUISAO SUAZA, Emily</t>
  </si>
  <si>
    <t>eguisao@unal.edu.co</t>
  </si>
  <si>
    <t>HERNANDEZ SALAZAR, Valentina</t>
  </si>
  <si>
    <t>vhernandezsa@unal.edu.co</t>
  </si>
  <si>
    <t>IGUARAN JIMENEZ, Jose Javier</t>
  </si>
  <si>
    <t>jiguaranj@unal.edu.co</t>
  </si>
  <si>
    <t>MADROÑERO YELA, Evelyn Yuliet</t>
  </si>
  <si>
    <t>emadronero@unal.edu.co</t>
  </si>
  <si>
    <t>MALDONADO PEÑARANDA, Carlos Jhosef</t>
  </si>
  <si>
    <t>camaldonadop@unal.edu.co</t>
  </si>
  <si>
    <t>MORENO GAMBOA, Diego Alejandro</t>
  </si>
  <si>
    <t>diemoreno@unal.edu.co</t>
  </si>
  <si>
    <t>NUMPAQUE BUITRAGO, Laura Daniela</t>
  </si>
  <si>
    <t>lnumpaque@unal.edu.co</t>
  </si>
  <si>
    <t>PEÑA RAMIREZ, Breinher Alexander</t>
  </si>
  <si>
    <t>brpenar@unal.edu.co</t>
  </si>
  <si>
    <t>PINILLA DELGADO, Carlos David</t>
  </si>
  <si>
    <t>cpinillade@unal.edu.co</t>
  </si>
  <si>
    <t>PINILLA ROJAS, Zabdi Hesed</t>
  </si>
  <si>
    <t>zpinilla@unal.edu.co</t>
  </si>
  <si>
    <t>QUIÑONEZ CARDENAS, Juliana Valentina</t>
  </si>
  <si>
    <t>juquinonezc@unal.edu.co</t>
  </si>
  <si>
    <t>RAMÍREZ CASARES, Santiago</t>
  </si>
  <si>
    <t>sanramirezc@unal.edu.co</t>
  </si>
  <si>
    <t>RICARDO MARTÍNEZ, Valeria</t>
  </si>
  <si>
    <t>vricardom@unal.edu.co</t>
  </si>
  <si>
    <t>SALAZAR QUIROGA, Laura Vanesa</t>
  </si>
  <si>
    <t>lsalazarq@unal.edu.co</t>
  </si>
  <si>
    <t>SANCHEZ ZABALA, Laura Kamila</t>
  </si>
  <si>
    <t>lasanchezz@unal.edu.co</t>
  </si>
  <si>
    <t>SANTANA MARIN, Luna Valeria</t>
  </si>
  <si>
    <t>lusantanam@unal.edu.co</t>
  </si>
  <si>
    <t>TIQUE ARIAS, Harold Esteban</t>
  </si>
  <si>
    <t>htique@unal.edu.co</t>
  </si>
  <si>
    <t>VALENCIA ESCOBAR, Keidem</t>
  </si>
  <si>
    <t>kvalenciae@unal.edu.co</t>
  </si>
  <si>
    <t>YANDUN YELA, Sara Deyfenny</t>
  </si>
  <si>
    <t>syanduny@unal.edu.co</t>
  </si>
  <si>
    <t>PROMEDIO DEL CURSO</t>
  </si>
  <si>
    <t>RESUMEN Y ESTADÍSTICAS DEL CURSO</t>
  </si>
  <si>
    <t>ESTADÍSTICAS GENERALES</t>
  </si>
  <si>
    <t>DESEMPEÑO POR GRUPO</t>
  </si>
  <si>
    <t>Estudiantes inscritos</t>
  </si>
  <si>
    <t>Integrantes</t>
  </si>
  <si>
    <t>Promedio</t>
  </si>
  <si>
    <t>Con nota registrada</t>
  </si>
  <si>
    <t>Promedio del curso</t>
  </si>
  <si>
    <t>Nota máxima</t>
  </si>
  <si>
    <t>Nota mínima</t>
  </si>
  <si>
    <t>Desviación estándar</t>
  </si>
  <si>
    <t>Aprobados</t>
  </si>
  <si>
    <t>Reprobados</t>
  </si>
  <si>
    <t>Falla por asistencia</t>
  </si>
  <si>
    <t>% de aprobación</t>
  </si>
  <si>
    <t>PROMEDIO POR COMPONENTE</t>
  </si>
  <si>
    <t>DISTRIBUCIÓN DE NOTAS FINALES</t>
  </si>
  <si>
    <t>Quices (10 %)</t>
  </si>
  <si>
    <t>Rango</t>
  </si>
  <si>
    <t>Estudiantes</t>
  </si>
  <si>
    <t>Talleres (10 %)</t>
  </si>
  <si>
    <t>0.0 – 1.9</t>
  </si>
  <si>
    <t>Bitácoras (50 %)</t>
  </si>
  <si>
    <t>2.0 – 2.9</t>
  </si>
  <si>
    <t>Informes (30 %)</t>
  </si>
  <si>
    <t>3.0 – 3.4</t>
  </si>
  <si>
    <t>3.5 – 3.9</t>
  </si>
  <si>
    <t>4.0 – 4.4</t>
  </si>
  <si>
    <t>4.5 – 5.0</t>
  </si>
  <si>
    <t>PARÁMETROS DE EVALUACIÓN</t>
  </si>
  <si>
    <t>Componente</t>
  </si>
  <si>
    <t>Peso</t>
  </si>
  <si>
    <t>Descripción</t>
  </si>
  <si>
    <t>Quices</t>
  </si>
  <si>
    <t>Individuales, al inicio de cada sesión (lectura previa)</t>
  </si>
  <si>
    <t>Talleres de Fundamentación</t>
  </si>
  <si>
    <t>Individuales, semanas 2 y 3</t>
  </si>
  <si>
    <t>Bitácoras de Laboratorio</t>
  </si>
  <si>
    <t>Grupales, 8 en total</t>
  </si>
  <si>
    <t>Informes Formales</t>
  </si>
  <si>
    <t>Grupales, 2 en total</t>
  </si>
  <si>
    <t>TOTAL</t>
  </si>
  <si>
    <t>CRITERIOS DE APROBACIÓN</t>
  </si>
  <si>
    <t>Nota mínima aprobatoria</t>
  </si>
  <si>
    <t>Escala 0.0 – 5.0</t>
  </si>
  <si>
    <t>Asistencia mínima</t>
  </si>
  <si>
    <t>Según el programa del curso</t>
  </si>
  <si>
    <t>DESCUENTO POR ENTREGA TARDÍA (nota máxima alcanzable)</t>
  </si>
  <si>
    <t>En plazo</t>
  </si>
  <si>
    <t>Aplíquelo manualmente al digitar la nota. Cada día = 24 h.</t>
  </si>
  <si>
    <t>1 día tarde</t>
  </si>
  <si>
    <t>2 días tarde</t>
  </si>
  <si>
    <t>3 días tarde</t>
  </si>
  <si>
    <t>4 días tarde</t>
  </si>
  <si>
    <t>Más de 4 días</t>
  </si>
  <si>
    <t xml:space="preserve">Registro de calificaciones · Semestre 2026-2 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</si>
</sst>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  <font>
      <b/>
      <sz val="9"/>
      <name val="Arial"/>
      <charset val="1"/>
    </font>
    <font>
      <b/>
      <sz val="11"/>
      <color rgb="FF00661F"/>
      <name val="Arial"/>
      <charset val="1"/>
    </font>
    <font>
      <b/>
      <sz val="9"/>
      <color rgb="FF00661F"/>
      <name val="Arial"/>
      <charset val="1"/>
    </font>
    <font>
      <sz val="10"/>
      <name val="Arial"/>
      <family val="2"/>
    </font>
    <font>
      <b/>
      <u/>
      <sz val="9"/>
      <color rgb="FFFFFFFF"/>
      <name val="Arial"/>
      <family val="2"/>
    </font>
    <font>
      <u/>
      <sz val="9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9933"/>
        <bgColor rgb="FF008080"/>
      </patternFill>
    </fill>
    <fill>
      <patternFill patternType="solid">
        <fgColor rgb="FF00661F"/>
        <bgColor rgb="FF006100"/>
      </patternFill>
    </fill>
    <fill>
      <patternFill patternType="solid">
        <fgColor rgb="FFFFF7DB"/>
        <bgColor rgb="FFF0FAF3"/>
      </patternFill>
    </fill>
    <fill>
      <patternFill patternType="solid">
        <fgColor rgb="FFE8EEF7"/>
        <bgColor rgb="FFF0FAF3"/>
      </patternFill>
    </fill>
    <fill>
      <patternFill patternType="solid">
        <fgColor rgb="FFD9F2E0"/>
        <bgColor rgb="FFE8EEF7"/>
      </patternFill>
    </fill>
    <fill>
      <patternFill patternType="solid">
        <fgColor rgb="FFF0FAF3"/>
        <bgColor rgb="FFFFFFFF"/>
      </patternFill>
    </fill>
    <fill>
      <patternFill patternType="solid">
        <fgColor rgb="FFFFFFFF"/>
        <bgColor rgb="FFF0FA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009933"/>
      </top>
      <bottom style="medium">
        <color rgb="FF00993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7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top" wrapText="1"/>
    </xf>
    <xf numFmtId="0" fontId="2" fillId="3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top"/>
    </xf>
    <xf numFmtId="0" fontId="5" fillId="5" borderId="0" xfId="0" applyFont="1" applyFill="1" applyAlignment="1">
      <alignment vertical="top"/>
    </xf>
    <xf numFmtId="0" fontId="5" fillId="6" borderId="0" xfId="0" applyFont="1" applyFill="1" applyAlignment="1">
      <alignment vertical="top"/>
    </xf>
    <xf numFmtId="0" fontId="5" fillId="7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1" fontId="3" fillId="4" borderId="2" xfId="0" applyNumberFormat="1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/>
    </xf>
    <xf numFmtId="2" fontId="11" fillId="5" borderId="2" xfId="0" applyNumberFormat="1" applyFont="1" applyFill="1" applyBorder="1" applyAlignment="1">
      <alignment horizontal="center" vertical="center"/>
    </xf>
    <xf numFmtId="9" fontId="10" fillId="4" borderId="2" xfId="0" applyNumberFormat="1" applyFont="1" applyFill="1" applyBorder="1" applyAlignment="1">
      <alignment horizontal="center" vertical="center"/>
    </xf>
    <xf numFmtId="2" fontId="12" fillId="6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right"/>
    </xf>
    <xf numFmtId="2" fontId="13" fillId="6" borderId="1" xfId="0" applyNumberFormat="1" applyFont="1" applyFill="1" applyBorder="1" applyAlignment="1">
      <alignment horizontal="center"/>
    </xf>
    <xf numFmtId="9" fontId="13" fillId="6" borderId="1" xfId="0" applyNumberFormat="1" applyFont="1" applyFill="1" applyBorder="1" applyAlignment="1">
      <alignment horizontal="center"/>
    </xf>
    <xf numFmtId="0" fontId="4" fillId="0" borderId="2" xfId="0" applyFont="1" applyBorder="1"/>
    <xf numFmtId="1" fontId="5" fillId="5" borderId="2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4" fillId="5" borderId="2" xfId="0" applyNumberFormat="1" applyFont="1" applyFill="1" applyBorder="1" applyAlignment="1">
      <alignment horizontal="center"/>
    </xf>
    <xf numFmtId="2" fontId="4" fillId="5" borderId="2" xfId="0" applyNumberFormat="1" applyFont="1" applyFill="1" applyBorder="1" applyAlignment="1">
      <alignment horizontal="center"/>
    </xf>
    <xf numFmtId="2" fontId="5" fillId="5" borderId="2" xfId="0" applyNumberFormat="1" applyFont="1" applyFill="1" applyBorder="1" applyAlignment="1">
      <alignment horizontal="center"/>
    </xf>
    <xf numFmtId="165" fontId="5" fillId="5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9" fontId="3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5" fillId="0" borderId="2" xfId="0" applyFont="1" applyBorder="1"/>
    <xf numFmtId="9" fontId="5" fillId="6" borderId="2" xfId="0" applyNumberFormat="1" applyFont="1" applyFill="1" applyBorder="1" applyAlignment="1">
      <alignment horizontal="center"/>
    </xf>
    <xf numFmtId="0" fontId="13" fillId="0" borderId="2" xfId="0" applyFont="1" applyBorder="1"/>
    <xf numFmtId="164" fontId="3" fillId="4" borderId="2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7" fillId="0" borderId="0" xfId="0" applyFont="1"/>
    <xf numFmtId="0" fontId="15" fillId="2" borderId="1" xfId="0" applyFont="1" applyFill="1" applyBorder="1" applyAlignment="1">
      <alignment horizontal="center" vertical="center" wrapText="1"/>
    </xf>
    <xf numFmtId="164" fontId="16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61F"/>
      <rgbColor rgb="FF000080"/>
      <rgbColor rgb="FF9C6500"/>
      <rgbColor rgb="FF800080"/>
      <rgbColor rgb="FF009933"/>
      <rgbColor rgb="FFBFBFBF"/>
      <rgbColor rgb="FF808080"/>
      <rgbColor rgb="FF9999FF"/>
      <rgbColor rgb="FF993366"/>
      <rgbColor rgb="FFFFF7DB"/>
      <rgbColor rgb="FFD9F2E0"/>
      <rgbColor rgb="FF660066"/>
      <rgbColor rgb="FFFF8080"/>
      <rgbColor rgb="FF0066CC"/>
      <rgbColor rgb="FFF0FA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13" zoomScaleNormal="100" workbookViewId="0">
      <selection sqref="A1:D1"/>
    </sheetView>
  </sheetViews>
  <sheetFormatPr baseColWidth="10" defaultColWidth="8.7109375" defaultRowHeight="15" x14ac:dyDescent="0.25"/>
  <cols>
    <col min="1" max="1" width="26" customWidth="1"/>
    <col min="2" max="3" width="30" customWidth="1"/>
    <col min="4" max="4" width="26" customWidth="1"/>
  </cols>
  <sheetData>
    <row r="1" spans="1:4" ht="24" customHeight="1" x14ac:dyDescent="0.25">
      <c r="A1" s="5" t="s">
        <v>0</v>
      </c>
      <c r="B1" s="5"/>
      <c r="C1" s="5"/>
      <c r="D1" s="5"/>
    </row>
    <row r="3" spans="1:4" x14ac:dyDescent="0.25">
      <c r="A3" s="4" t="s">
        <v>1</v>
      </c>
      <c r="B3" s="4"/>
      <c r="C3" s="4"/>
      <c r="D3" s="4"/>
    </row>
    <row r="4" spans="1:4" ht="27.75" customHeight="1" x14ac:dyDescent="0.25">
      <c r="A4" s="6" t="s">
        <v>2</v>
      </c>
      <c r="B4" s="3" t="s">
        <v>3</v>
      </c>
      <c r="C4" s="3"/>
      <c r="D4" s="3"/>
    </row>
    <row r="5" spans="1:4" ht="27.75" customHeight="1" x14ac:dyDescent="0.25">
      <c r="A5" s="7" t="s">
        <v>4</v>
      </c>
      <c r="B5" s="3" t="s">
        <v>5</v>
      </c>
      <c r="C5" s="3"/>
      <c r="D5" s="3"/>
    </row>
    <row r="6" spans="1:4" ht="27.75" customHeight="1" x14ac:dyDescent="0.25">
      <c r="A6" s="8" t="s">
        <v>6</v>
      </c>
      <c r="B6" s="3" t="s">
        <v>7</v>
      </c>
      <c r="C6" s="3"/>
      <c r="D6" s="3"/>
    </row>
    <row r="7" spans="1:4" ht="27.75" customHeight="1" x14ac:dyDescent="0.25">
      <c r="A7" s="9" t="s">
        <v>8</v>
      </c>
      <c r="B7" s="3" t="s">
        <v>9</v>
      </c>
      <c r="C7" s="3"/>
      <c r="D7" s="3"/>
    </row>
    <row r="9" spans="1:4" x14ac:dyDescent="0.25">
      <c r="A9" s="4" t="s">
        <v>10</v>
      </c>
      <c r="B9" s="4"/>
      <c r="C9" s="4"/>
      <c r="D9" s="4"/>
    </row>
    <row r="10" spans="1:4" ht="27.75" customHeight="1" x14ac:dyDescent="0.25">
      <c r="A10" s="10" t="s">
        <v>11</v>
      </c>
      <c r="B10" s="3" t="s">
        <v>12</v>
      </c>
      <c r="C10" s="3"/>
      <c r="D10" s="3"/>
    </row>
    <row r="11" spans="1:4" ht="27.75" customHeight="1" x14ac:dyDescent="0.25">
      <c r="A11" s="10" t="s">
        <v>13</v>
      </c>
      <c r="B11" s="3" t="s">
        <v>14</v>
      </c>
      <c r="C11" s="3"/>
      <c r="D11" s="3"/>
    </row>
    <row r="12" spans="1:4" ht="27.75" customHeight="1" x14ac:dyDescent="0.25">
      <c r="A12" s="10" t="s">
        <v>15</v>
      </c>
      <c r="B12" s="3" t="s">
        <v>16</v>
      </c>
      <c r="C12" s="3"/>
      <c r="D12" s="3"/>
    </row>
    <row r="13" spans="1:4" ht="27.75" customHeight="1" x14ac:dyDescent="0.25">
      <c r="A13" s="10" t="s">
        <v>17</v>
      </c>
      <c r="B13" s="3" t="s">
        <v>18</v>
      </c>
      <c r="C13" s="3"/>
      <c r="D13" s="3"/>
    </row>
    <row r="14" spans="1:4" ht="27.75" customHeight="1" x14ac:dyDescent="0.25">
      <c r="A14" s="10" t="s">
        <v>19</v>
      </c>
      <c r="B14" s="3" t="s">
        <v>20</v>
      </c>
      <c r="C14" s="3"/>
      <c r="D14" s="3"/>
    </row>
    <row r="15" spans="1:4" ht="27.75" customHeight="1" x14ac:dyDescent="0.25">
      <c r="A15" s="10" t="s">
        <v>21</v>
      </c>
      <c r="B15" s="3" t="s">
        <v>22</v>
      </c>
      <c r="C15" s="3"/>
      <c r="D15" s="3"/>
    </row>
    <row r="17" spans="1:4" x14ac:dyDescent="0.25">
      <c r="A17" s="4" t="s">
        <v>23</v>
      </c>
      <c r="B17" s="4"/>
      <c r="C17" s="4"/>
      <c r="D17" s="4"/>
    </row>
    <row r="18" spans="1:4" ht="27.75" customHeight="1" x14ac:dyDescent="0.25">
      <c r="A18" s="10" t="s">
        <v>24</v>
      </c>
      <c r="B18" s="3" t="s">
        <v>25</v>
      </c>
      <c r="C18" s="3"/>
      <c r="D18" s="3"/>
    </row>
    <row r="19" spans="1:4" ht="27.75" customHeight="1" x14ac:dyDescent="0.25">
      <c r="A19" s="10" t="s">
        <v>26</v>
      </c>
      <c r="B19" s="3" t="s">
        <v>27</v>
      </c>
      <c r="C19" s="3"/>
      <c r="D19" s="3"/>
    </row>
    <row r="20" spans="1:4" ht="27.75" customHeight="1" x14ac:dyDescent="0.25">
      <c r="A20" s="10" t="s">
        <v>28</v>
      </c>
      <c r="B20" s="3" t="s">
        <v>29</v>
      </c>
      <c r="C20" s="3"/>
      <c r="D20" s="3"/>
    </row>
    <row r="21" spans="1:4" ht="27.75" customHeight="1" x14ac:dyDescent="0.25">
      <c r="A21" s="10" t="s">
        <v>30</v>
      </c>
      <c r="B21" s="3" t="s">
        <v>31</v>
      </c>
      <c r="C21" s="3"/>
      <c r="D21" s="3"/>
    </row>
    <row r="22" spans="1:4" ht="27.75" customHeight="1" x14ac:dyDescent="0.25">
      <c r="A22" s="10" t="s">
        <v>32</v>
      </c>
      <c r="B22" s="3" t="s">
        <v>33</v>
      </c>
      <c r="C22" s="3"/>
      <c r="D22" s="3"/>
    </row>
    <row r="23" spans="1:4" ht="27.75" customHeight="1" x14ac:dyDescent="0.25">
      <c r="A23" s="10" t="s">
        <v>34</v>
      </c>
      <c r="B23" s="3" t="s">
        <v>35</v>
      </c>
      <c r="C23" s="3"/>
      <c r="D23" s="3"/>
    </row>
    <row r="24" spans="1:4" ht="27.75" customHeight="1" x14ac:dyDescent="0.25">
      <c r="A24" s="10" t="s">
        <v>36</v>
      </c>
      <c r="B24" s="3" t="s">
        <v>37</v>
      </c>
      <c r="C24" s="3"/>
      <c r="D24" s="3"/>
    </row>
    <row r="26" spans="1:4" x14ac:dyDescent="0.25">
      <c r="A26" s="4" t="s">
        <v>38</v>
      </c>
      <c r="B26" s="4"/>
      <c r="C26" s="4"/>
      <c r="D26" s="4"/>
    </row>
    <row r="27" spans="1:4" ht="27.75" customHeight="1" x14ac:dyDescent="0.25">
      <c r="A27" s="10" t="s">
        <v>39</v>
      </c>
      <c r="B27" s="3" t="s">
        <v>40</v>
      </c>
      <c r="C27" s="3"/>
      <c r="D27" s="3"/>
    </row>
    <row r="28" spans="1:4" ht="27.75" customHeight="1" x14ac:dyDescent="0.25">
      <c r="A28" s="10" t="s">
        <v>41</v>
      </c>
      <c r="B28" s="3" t="s">
        <v>42</v>
      </c>
      <c r="C28" s="3"/>
      <c r="D28" s="3"/>
    </row>
    <row r="29" spans="1:4" ht="27.75" customHeight="1" x14ac:dyDescent="0.25">
      <c r="A29" s="10" t="s">
        <v>43</v>
      </c>
      <c r="B29" s="3" t="s">
        <v>44</v>
      </c>
      <c r="C29" s="3"/>
      <c r="D29" s="3"/>
    </row>
    <row r="30" spans="1:4" ht="27.75" customHeight="1" x14ac:dyDescent="0.25">
      <c r="A30" s="10" t="s">
        <v>45</v>
      </c>
      <c r="B30" s="3" t="s">
        <v>46</v>
      </c>
      <c r="C30" s="3"/>
      <c r="D30" s="3"/>
    </row>
    <row r="31" spans="1:4" ht="27.75" customHeight="1" x14ac:dyDescent="0.25">
      <c r="A31" s="10" t="s">
        <v>47</v>
      </c>
      <c r="B31" s="3" t="s">
        <v>48</v>
      </c>
      <c r="C31" s="3"/>
      <c r="D31" s="3"/>
    </row>
  </sheetData>
  <mergeCells count="27">
    <mergeCell ref="B30:D30"/>
    <mergeCell ref="B31:D31"/>
    <mergeCell ref="B24:D24"/>
    <mergeCell ref="A26:D26"/>
    <mergeCell ref="B27:D27"/>
    <mergeCell ref="B28:D28"/>
    <mergeCell ref="B29:D29"/>
    <mergeCell ref="B19:D19"/>
    <mergeCell ref="B20:D20"/>
    <mergeCell ref="B21:D21"/>
    <mergeCell ref="B22:D22"/>
    <mergeCell ref="B23:D23"/>
    <mergeCell ref="B13:D13"/>
    <mergeCell ref="B14:D14"/>
    <mergeCell ref="B15:D15"/>
    <mergeCell ref="A17:D17"/>
    <mergeCell ref="B18:D18"/>
    <mergeCell ref="B7:D7"/>
    <mergeCell ref="A9:D9"/>
    <mergeCell ref="B10:D10"/>
    <mergeCell ref="B11:D11"/>
    <mergeCell ref="B12:D12"/>
    <mergeCell ref="A1:D1"/>
    <mergeCell ref="A3:D3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5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10" sqref="N10"/>
    </sheetView>
  </sheetViews>
  <sheetFormatPr baseColWidth="10" defaultColWidth="8.7109375" defaultRowHeight="15" x14ac:dyDescent="0.25"/>
  <cols>
    <col min="1" max="1" width="4.42578125" customWidth="1"/>
    <col min="2" max="2" width="35.7109375" customWidth="1"/>
    <col min="3" max="3" width="26" customWidth="1"/>
    <col min="4" max="4" width="7.42578125" customWidth="1"/>
    <col min="5" max="14" width="6.5703125" customWidth="1"/>
    <col min="15" max="15" width="11" customWidth="1"/>
    <col min="16" max="17" width="6.5703125" customWidth="1"/>
    <col min="18" max="18" width="11" customWidth="1"/>
    <col min="19" max="26" width="6.5703125" customWidth="1"/>
    <col min="27" max="27" width="11" customWidth="1"/>
    <col min="28" max="29" width="6.5703125" customWidth="1"/>
    <col min="30" max="30" width="11" customWidth="1"/>
    <col min="31" max="31" width="10" customWidth="1"/>
    <col min="32" max="32" width="11" customWidth="1"/>
    <col min="33" max="33" width="13" customWidth="1"/>
  </cols>
  <sheetData>
    <row r="1" spans="1:33" ht="25.5" customHeight="1" x14ac:dyDescent="0.25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5.75" customHeight="1" x14ac:dyDescent="0.25">
      <c r="A2" s="1" t="s">
        <v>197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33.75" customHeight="1" x14ac:dyDescent="0.25">
      <c r="A3" s="45" t="s">
        <v>50</v>
      </c>
      <c r="B3" s="11" t="s">
        <v>51</v>
      </c>
      <c r="C3" s="11" t="s">
        <v>52</v>
      </c>
      <c r="D3" s="11" t="s">
        <v>24</v>
      </c>
      <c r="E3" s="11" t="s">
        <v>53</v>
      </c>
      <c r="F3" s="11" t="s">
        <v>54</v>
      </c>
      <c r="G3" s="11" t="s">
        <v>55</v>
      </c>
      <c r="H3" s="11" t="s">
        <v>56</v>
      </c>
      <c r="I3" s="11" t="s">
        <v>57</v>
      </c>
      <c r="J3" s="11" t="s">
        <v>58</v>
      </c>
      <c r="K3" s="11" t="s">
        <v>59</v>
      </c>
      <c r="L3" s="11" t="s">
        <v>60</v>
      </c>
      <c r="M3" s="11" t="s">
        <v>61</v>
      </c>
      <c r="N3" s="11" t="s">
        <v>62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68</v>
      </c>
      <c r="U3" s="11" t="s">
        <v>69</v>
      </c>
      <c r="V3" s="11" t="s">
        <v>70</v>
      </c>
      <c r="W3" s="11" t="s">
        <v>71</v>
      </c>
      <c r="X3" s="11" t="s">
        <v>72</v>
      </c>
      <c r="Y3" s="11" t="s">
        <v>73</v>
      </c>
      <c r="Z3" s="11" t="s">
        <v>74</v>
      </c>
      <c r="AA3" s="11" t="s">
        <v>75</v>
      </c>
      <c r="AB3" s="11" t="s">
        <v>76</v>
      </c>
      <c r="AC3" s="11" t="s">
        <v>77</v>
      </c>
      <c r="AD3" s="11" t="s">
        <v>78</v>
      </c>
      <c r="AE3" s="11" t="s">
        <v>34</v>
      </c>
      <c r="AF3" s="12" t="s">
        <v>79</v>
      </c>
      <c r="AG3" s="11" t="s">
        <v>80</v>
      </c>
    </row>
    <row r="4" spans="1:33" ht="18" customHeight="1" x14ac:dyDescent="0.25">
      <c r="A4" s="13">
        <v>1</v>
      </c>
      <c r="B4" s="14" t="s">
        <v>81</v>
      </c>
      <c r="C4" s="14" t="s">
        <v>82</v>
      </c>
      <c r="D4" s="15">
        <v>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7" t="str">
        <f t="shared" ref="O4:O33" si="0">IFERROR(AVERAGE(E4:N4),"")</f>
        <v/>
      </c>
      <c r="P4" s="16"/>
      <c r="Q4" s="16"/>
      <c r="R4" s="17" t="str">
        <f t="shared" ref="R4:R33" si="1">IFERROR(AVERAGE(P4:Q4),"")</f>
        <v/>
      </c>
      <c r="S4" s="16"/>
      <c r="T4" s="16"/>
      <c r="U4" s="16"/>
      <c r="V4" s="16"/>
      <c r="W4" s="16"/>
      <c r="X4" s="16"/>
      <c r="Y4" s="16"/>
      <c r="Z4" s="16"/>
      <c r="AA4" s="17" t="str">
        <f t="shared" ref="AA4:AA33" si="2">IFERROR(AVERAGE(S4:Z4),"")</f>
        <v/>
      </c>
      <c r="AB4" s="16"/>
      <c r="AC4" s="16"/>
      <c r="AD4" s="17" t="str">
        <f t="shared" ref="AD4:AD33" si="3">IFERROR(AVERAGE(AB4:AC4),"")</f>
        <v/>
      </c>
      <c r="AE4" s="18">
        <v>1</v>
      </c>
      <c r="AF4" s="19" t="str">
        <f>IFERROR((IF(O4="",0,O4*Configuración!$B$4)+IF(R4="",0,R4*Configuración!$B$5)+IF(AA4="",0,AA4*Configuración!$B$6)+IF(AD4="",0,AD4*Configuración!$B$7))/(IF(O4="",0,Configuración!$B$4)+IF(R4="",0,Configuración!$B$5)+IF(AA4="",0,Configuración!$B$6)+IF(AD4="",0,Configuración!$B$7)),"")</f>
        <v/>
      </c>
      <c r="AG4" s="20" t="str">
        <f>IF(AF4="","",IF(AE4&lt;Configuración!$B$12,"FALLA ASIST.",IF(AF4&gt;=Configuración!$B$11,"APROBADO","REPROBADO")))</f>
        <v/>
      </c>
    </row>
    <row r="5" spans="1:33" ht="18" customHeight="1" x14ac:dyDescent="0.25">
      <c r="A5" s="21">
        <v>2</v>
      </c>
      <c r="B5" s="22" t="s">
        <v>83</v>
      </c>
      <c r="C5" s="22" t="s">
        <v>84</v>
      </c>
      <c r="D5" s="15">
        <v>2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7" t="str">
        <f t="shared" si="0"/>
        <v/>
      </c>
      <c r="P5" s="16"/>
      <c r="Q5" s="16"/>
      <c r="R5" s="17" t="str">
        <f t="shared" si="1"/>
        <v/>
      </c>
      <c r="S5" s="16"/>
      <c r="T5" s="16"/>
      <c r="U5" s="16"/>
      <c r="V5" s="16"/>
      <c r="W5" s="16"/>
      <c r="X5" s="16"/>
      <c r="Y5" s="16"/>
      <c r="Z5" s="16"/>
      <c r="AA5" s="17" t="str">
        <f t="shared" si="2"/>
        <v/>
      </c>
      <c r="AB5" s="16"/>
      <c r="AC5" s="16"/>
      <c r="AD5" s="17" t="str">
        <f t="shared" si="3"/>
        <v/>
      </c>
      <c r="AE5" s="18">
        <v>1</v>
      </c>
      <c r="AF5" s="19" t="str">
        <f>IFERROR((IF(O5="",0,O5*Configuración!$B$4)+IF(R5="",0,R5*Configuración!$B$5)+IF(AA5="",0,AA5*Configuración!$B$6)+IF(AD5="",0,AD5*Configuración!$B$7))/(IF(O5="",0,Configuración!$B$4)+IF(R5="",0,Configuración!$B$5)+IF(AA5="",0,Configuración!$B$6)+IF(AD5="",0,Configuración!$B$7)),"")</f>
        <v/>
      </c>
      <c r="AG5" s="20" t="str">
        <f>IF(AF5="","",IF(AE5&lt;Configuración!$B$12,"FALLA ASIST.",IF(AF5&gt;=Configuración!$B$11,"APROBADO","REPROBADO")))</f>
        <v/>
      </c>
    </row>
    <row r="6" spans="1:33" ht="18" customHeight="1" x14ac:dyDescent="0.25">
      <c r="A6" s="13">
        <v>3</v>
      </c>
      <c r="B6" s="14" t="s">
        <v>85</v>
      </c>
      <c r="C6" s="14" t="s">
        <v>86</v>
      </c>
      <c r="D6" s="15">
        <v>7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7" t="str">
        <f t="shared" si="0"/>
        <v/>
      </c>
      <c r="P6" s="16"/>
      <c r="Q6" s="16"/>
      <c r="R6" s="17" t="str">
        <f t="shared" si="1"/>
        <v/>
      </c>
      <c r="S6" s="16"/>
      <c r="T6" s="16"/>
      <c r="U6" s="16"/>
      <c r="V6" s="16"/>
      <c r="W6" s="16"/>
      <c r="X6" s="16"/>
      <c r="Y6" s="16"/>
      <c r="Z6" s="16"/>
      <c r="AA6" s="17" t="str">
        <f t="shared" si="2"/>
        <v/>
      </c>
      <c r="AB6" s="16"/>
      <c r="AC6" s="16"/>
      <c r="AD6" s="17" t="str">
        <f t="shared" si="3"/>
        <v/>
      </c>
      <c r="AE6" s="18">
        <v>1</v>
      </c>
      <c r="AF6" s="19" t="str">
        <f>IFERROR((IF(O6="",0,O6*Configuración!$B$4)+IF(R6="",0,R6*Configuración!$B$5)+IF(AA6="",0,AA6*Configuración!$B$6)+IF(AD6="",0,AD6*Configuración!$B$7))/(IF(O6="",0,Configuración!$B$4)+IF(R6="",0,Configuración!$B$5)+IF(AA6="",0,Configuración!$B$6)+IF(AD6="",0,Configuración!$B$7)),"")</f>
        <v/>
      </c>
      <c r="AG6" s="20" t="str">
        <f>IF(AF6="","",IF(AE6&lt;Configuración!$B$12,"FALLA ASIST.",IF(AF6&gt;=Configuración!$B$11,"APROBADO","REPROBADO")))</f>
        <v/>
      </c>
    </row>
    <row r="7" spans="1:33" ht="18" customHeight="1" x14ac:dyDescent="0.25">
      <c r="A7" s="21">
        <v>4</v>
      </c>
      <c r="B7" s="22" t="s">
        <v>87</v>
      </c>
      <c r="C7" s="22" t="s">
        <v>88</v>
      </c>
      <c r="D7" s="15">
        <v>4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7" t="str">
        <f t="shared" si="0"/>
        <v/>
      </c>
      <c r="P7" s="16"/>
      <c r="Q7" s="16"/>
      <c r="R7" s="17" t="str">
        <f t="shared" si="1"/>
        <v/>
      </c>
      <c r="S7" s="16"/>
      <c r="T7" s="16"/>
      <c r="U7" s="16"/>
      <c r="V7" s="16"/>
      <c r="W7" s="16"/>
      <c r="X7" s="16"/>
      <c r="Y7" s="16"/>
      <c r="Z7" s="16"/>
      <c r="AA7" s="17" t="str">
        <f t="shared" si="2"/>
        <v/>
      </c>
      <c r="AB7" s="16"/>
      <c r="AC7" s="16"/>
      <c r="AD7" s="17" t="str">
        <f t="shared" si="3"/>
        <v/>
      </c>
      <c r="AE7" s="18">
        <v>1</v>
      </c>
      <c r="AF7" s="19" t="str">
        <f>IFERROR((IF(O7="",0,O7*Configuración!$B$4)+IF(R7="",0,R7*Configuración!$B$5)+IF(AA7="",0,AA7*Configuración!$B$6)+IF(AD7="",0,AD7*Configuración!$B$7))/(IF(O7="",0,Configuración!$B$4)+IF(R7="",0,Configuración!$B$5)+IF(AA7="",0,Configuración!$B$6)+IF(AD7="",0,Configuración!$B$7)),"")</f>
        <v/>
      </c>
      <c r="AG7" s="20" t="str">
        <f>IF(AF7="","",IF(AE7&lt;Configuración!$B$12,"FALLA ASIST.",IF(AF7&gt;=Configuración!$B$11,"APROBADO","REPROBADO")))</f>
        <v/>
      </c>
    </row>
    <row r="8" spans="1:33" ht="18" customHeight="1" x14ac:dyDescent="0.25">
      <c r="A8" s="13">
        <v>5</v>
      </c>
      <c r="B8" s="14" t="s">
        <v>89</v>
      </c>
      <c r="C8" s="14" t="s">
        <v>90</v>
      </c>
      <c r="D8" s="15">
        <v>4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7" t="str">
        <f t="shared" si="0"/>
        <v/>
      </c>
      <c r="P8" s="16"/>
      <c r="Q8" s="16"/>
      <c r="R8" s="17" t="str">
        <f t="shared" si="1"/>
        <v/>
      </c>
      <c r="S8" s="16"/>
      <c r="T8" s="16"/>
      <c r="U8" s="16"/>
      <c r="V8" s="16"/>
      <c r="W8" s="16"/>
      <c r="X8" s="16"/>
      <c r="Y8" s="16"/>
      <c r="Z8" s="16"/>
      <c r="AA8" s="17" t="str">
        <f t="shared" si="2"/>
        <v/>
      </c>
      <c r="AB8" s="16"/>
      <c r="AC8" s="16"/>
      <c r="AD8" s="17" t="str">
        <f t="shared" si="3"/>
        <v/>
      </c>
      <c r="AE8" s="18">
        <v>1</v>
      </c>
      <c r="AF8" s="19" t="str">
        <f>IFERROR((IF(O8="",0,O8*Configuración!$B$4)+IF(R8="",0,R8*Configuración!$B$5)+IF(AA8="",0,AA8*Configuración!$B$6)+IF(AD8="",0,AD8*Configuración!$B$7))/(IF(O8="",0,Configuración!$B$4)+IF(R8="",0,Configuración!$B$5)+IF(AA8="",0,Configuración!$B$6)+IF(AD8="",0,Configuración!$B$7)),"")</f>
        <v/>
      </c>
      <c r="AG8" s="20" t="str">
        <f>IF(AF8="","",IF(AE8&lt;Configuración!$B$12,"FALLA ASIST.",IF(AF8&gt;=Configuración!$B$11,"APROBADO","REPROBADO")))</f>
        <v/>
      </c>
    </row>
    <row r="9" spans="1:33" ht="18" customHeight="1" x14ac:dyDescent="0.25">
      <c r="A9" s="21">
        <v>6</v>
      </c>
      <c r="B9" s="22" t="s">
        <v>91</v>
      </c>
      <c r="C9" s="22" t="s">
        <v>92</v>
      </c>
      <c r="D9" s="15">
        <v>5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7" t="str">
        <f t="shared" si="0"/>
        <v/>
      </c>
      <c r="P9" s="16"/>
      <c r="Q9" s="16"/>
      <c r="R9" s="17" t="str">
        <f t="shared" si="1"/>
        <v/>
      </c>
      <c r="S9" s="16"/>
      <c r="T9" s="16"/>
      <c r="U9" s="16"/>
      <c r="V9" s="16"/>
      <c r="W9" s="16"/>
      <c r="X9" s="16"/>
      <c r="Y9" s="16"/>
      <c r="Z9" s="16"/>
      <c r="AA9" s="17" t="str">
        <f t="shared" si="2"/>
        <v/>
      </c>
      <c r="AB9" s="16"/>
      <c r="AC9" s="16"/>
      <c r="AD9" s="17" t="str">
        <f t="shared" si="3"/>
        <v/>
      </c>
      <c r="AE9" s="18">
        <v>1</v>
      </c>
      <c r="AF9" s="19" t="str">
        <f>IFERROR((IF(O9="",0,O9*Configuración!$B$4)+IF(R9="",0,R9*Configuración!$B$5)+IF(AA9="",0,AA9*Configuración!$B$6)+IF(AD9="",0,AD9*Configuración!$B$7))/(IF(O9="",0,Configuración!$B$4)+IF(R9="",0,Configuración!$B$5)+IF(AA9="",0,Configuración!$B$6)+IF(AD9="",0,Configuración!$B$7)),"")</f>
        <v/>
      </c>
      <c r="AG9" s="20" t="str">
        <f>IF(AF9="","",IF(AE9&lt;Configuración!$B$12,"FALLA ASIST.",IF(AF9&gt;=Configuración!$B$11,"APROBADO","REPROBADO")))</f>
        <v/>
      </c>
    </row>
    <row r="10" spans="1:33" ht="18" customHeight="1" x14ac:dyDescent="0.25">
      <c r="A10" s="13">
        <v>7</v>
      </c>
      <c r="B10" s="14" t="s">
        <v>93</v>
      </c>
      <c r="C10" s="14" t="s">
        <v>94</v>
      </c>
      <c r="D10" s="15">
        <v>4</v>
      </c>
      <c r="E10" s="16"/>
      <c r="F10" s="16"/>
      <c r="G10" s="16"/>
      <c r="H10" s="16"/>
      <c r="I10" s="16"/>
      <c r="J10" s="16"/>
      <c r="K10" s="16"/>
      <c r="L10" s="16"/>
      <c r="M10" s="16"/>
      <c r="N10" s="46"/>
      <c r="O10" s="17" t="str">
        <f t="shared" si="0"/>
        <v/>
      </c>
      <c r="P10" s="16"/>
      <c r="Q10" s="16"/>
      <c r="R10" s="17" t="str">
        <f t="shared" si="1"/>
        <v/>
      </c>
      <c r="S10" s="16"/>
      <c r="T10" s="16"/>
      <c r="U10" s="16"/>
      <c r="V10" s="16"/>
      <c r="W10" s="16"/>
      <c r="X10" s="16"/>
      <c r="Y10" s="16"/>
      <c r="Z10" s="16"/>
      <c r="AA10" s="17" t="str">
        <f t="shared" si="2"/>
        <v/>
      </c>
      <c r="AB10" s="16"/>
      <c r="AC10" s="16"/>
      <c r="AD10" s="17" t="str">
        <f t="shared" si="3"/>
        <v/>
      </c>
      <c r="AE10" s="18">
        <v>1</v>
      </c>
      <c r="AF10" s="19" t="str">
        <f>IFERROR((IF(O10="",0,O10*Configuración!$B$4)+IF(R10="",0,R10*Configuración!$B$5)+IF(AA10="",0,AA10*Configuración!$B$6)+IF(AD10="",0,AD10*Configuración!$B$7))/(IF(O10="",0,Configuración!$B$4)+IF(R10="",0,Configuración!$B$5)+IF(AA10="",0,Configuración!$B$6)+IF(AD10="",0,Configuración!$B$7)),"")</f>
        <v/>
      </c>
      <c r="AG10" s="20" t="str">
        <f>IF(AF10="","",IF(AE10&lt;Configuración!$B$12,"FALLA ASIST.",IF(AF10&gt;=Configuración!$B$11,"APROBADO","REPROBADO")))</f>
        <v/>
      </c>
    </row>
    <row r="11" spans="1:33" ht="18" customHeight="1" x14ac:dyDescent="0.25">
      <c r="A11" s="21">
        <v>8</v>
      </c>
      <c r="B11" s="22" t="s">
        <v>95</v>
      </c>
      <c r="C11" s="22" t="s">
        <v>96</v>
      </c>
      <c r="D11" s="15">
        <v>6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 t="str">
        <f t="shared" si="0"/>
        <v/>
      </c>
      <c r="P11" s="16"/>
      <c r="Q11" s="16"/>
      <c r="R11" s="17" t="str">
        <f t="shared" si="1"/>
        <v/>
      </c>
      <c r="S11" s="16"/>
      <c r="T11" s="16"/>
      <c r="U11" s="16"/>
      <c r="V11" s="16"/>
      <c r="W11" s="16"/>
      <c r="X11" s="16"/>
      <c r="Y11" s="16"/>
      <c r="Z11" s="16"/>
      <c r="AA11" s="17" t="str">
        <f t="shared" si="2"/>
        <v/>
      </c>
      <c r="AB11" s="16"/>
      <c r="AC11" s="16"/>
      <c r="AD11" s="17" t="str">
        <f t="shared" si="3"/>
        <v/>
      </c>
      <c r="AE11" s="18">
        <v>1</v>
      </c>
      <c r="AF11" s="19" t="str">
        <f>IFERROR((IF(O11="",0,O11*Configuración!$B$4)+IF(R11="",0,R11*Configuración!$B$5)+IF(AA11="",0,AA11*Configuración!$B$6)+IF(AD11="",0,AD11*Configuración!$B$7))/(IF(O11="",0,Configuración!$B$4)+IF(R11="",0,Configuración!$B$5)+IF(AA11="",0,Configuración!$B$6)+IF(AD11="",0,Configuración!$B$7)),"")</f>
        <v/>
      </c>
      <c r="AG11" s="20" t="str">
        <f>IF(AF11="","",IF(AE11&lt;Configuración!$B$12,"FALLA ASIST.",IF(AF11&gt;=Configuración!$B$11,"APROBADO","REPROBADO")))</f>
        <v/>
      </c>
    </row>
    <row r="12" spans="1:33" ht="18" customHeight="1" x14ac:dyDescent="0.25">
      <c r="A12" s="13">
        <v>9</v>
      </c>
      <c r="B12" s="14" t="s">
        <v>97</v>
      </c>
      <c r="C12" s="14" t="s">
        <v>98</v>
      </c>
      <c r="D12" s="15">
        <v>7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 t="str">
        <f t="shared" si="0"/>
        <v/>
      </c>
      <c r="P12" s="16"/>
      <c r="Q12" s="16"/>
      <c r="R12" s="17" t="str">
        <f t="shared" si="1"/>
        <v/>
      </c>
      <c r="S12" s="16"/>
      <c r="T12" s="16"/>
      <c r="U12" s="16"/>
      <c r="V12" s="16"/>
      <c r="W12" s="16"/>
      <c r="X12" s="16"/>
      <c r="Y12" s="16"/>
      <c r="Z12" s="16"/>
      <c r="AA12" s="17" t="str">
        <f t="shared" si="2"/>
        <v/>
      </c>
      <c r="AB12" s="16"/>
      <c r="AC12" s="16"/>
      <c r="AD12" s="17" t="str">
        <f t="shared" si="3"/>
        <v/>
      </c>
      <c r="AE12" s="18">
        <v>1</v>
      </c>
      <c r="AF12" s="19" t="str">
        <f>IFERROR((IF(O12="",0,O12*Configuración!$B$4)+IF(R12="",0,R12*Configuración!$B$5)+IF(AA12="",0,AA12*Configuración!$B$6)+IF(AD12="",0,AD12*Configuración!$B$7))/(IF(O12="",0,Configuración!$B$4)+IF(R12="",0,Configuración!$B$5)+IF(AA12="",0,Configuración!$B$6)+IF(AD12="",0,Configuración!$B$7)),"")</f>
        <v/>
      </c>
      <c r="AG12" s="20" t="str">
        <f>IF(AF12="","",IF(AE12&lt;Configuración!$B$12,"FALLA ASIST.",IF(AF12&gt;=Configuración!$B$11,"APROBADO","REPROBADO")))</f>
        <v/>
      </c>
    </row>
    <row r="13" spans="1:33" ht="18" customHeight="1" x14ac:dyDescent="0.25">
      <c r="A13" s="21">
        <v>10</v>
      </c>
      <c r="B13" s="22" t="s">
        <v>99</v>
      </c>
      <c r="C13" s="22" t="s">
        <v>100</v>
      </c>
      <c r="D13" s="15">
        <v>5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 t="str">
        <f t="shared" si="0"/>
        <v/>
      </c>
      <c r="P13" s="16"/>
      <c r="Q13" s="16"/>
      <c r="R13" s="17" t="str">
        <f t="shared" si="1"/>
        <v/>
      </c>
      <c r="S13" s="16"/>
      <c r="T13" s="16"/>
      <c r="U13" s="16"/>
      <c r="V13" s="16"/>
      <c r="W13" s="16"/>
      <c r="X13" s="16"/>
      <c r="Y13" s="16"/>
      <c r="Z13" s="16"/>
      <c r="AA13" s="17" t="str">
        <f t="shared" si="2"/>
        <v/>
      </c>
      <c r="AB13" s="16"/>
      <c r="AC13" s="16"/>
      <c r="AD13" s="17" t="str">
        <f t="shared" si="3"/>
        <v/>
      </c>
      <c r="AE13" s="18">
        <v>1</v>
      </c>
      <c r="AF13" s="19" t="str">
        <f>IFERROR((IF(O13="",0,O13*Configuración!$B$4)+IF(R13="",0,R13*Configuración!$B$5)+IF(AA13="",0,AA13*Configuración!$B$6)+IF(AD13="",0,AD13*Configuración!$B$7))/(IF(O13="",0,Configuración!$B$4)+IF(R13="",0,Configuración!$B$5)+IF(AA13="",0,Configuración!$B$6)+IF(AD13="",0,Configuración!$B$7)),"")</f>
        <v/>
      </c>
      <c r="AG13" s="20" t="str">
        <f>IF(AF13="","",IF(AE13&lt;Configuración!$B$12,"FALLA ASIST.",IF(AF13&gt;=Configuración!$B$11,"APROBADO","REPROBADO")))</f>
        <v/>
      </c>
    </row>
    <row r="14" spans="1:33" ht="18" customHeight="1" x14ac:dyDescent="0.25">
      <c r="A14" s="13">
        <v>11</v>
      </c>
      <c r="B14" s="14" t="s">
        <v>101</v>
      </c>
      <c r="C14" s="14" t="s">
        <v>102</v>
      </c>
      <c r="D14" s="15">
        <v>4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 t="str">
        <f t="shared" si="0"/>
        <v/>
      </c>
      <c r="P14" s="16"/>
      <c r="Q14" s="16"/>
      <c r="R14" s="17" t="str">
        <f t="shared" si="1"/>
        <v/>
      </c>
      <c r="S14" s="16"/>
      <c r="T14" s="16"/>
      <c r="U14" s="16"/>
      <c r="V14" s="16"/>
      <c r="W14" s="16"/>
      <c r="X14" s="16"/>
      <c r="Y14" s="16"/>
      <c r="Z14" s="16"/>
      <c r="AA14" s="17" t="str">
        <f t="shared" si="2"/>
        <v/>
      </c>
      <c r="AB14" s="16"/>
      <c r="AC14" s="16"/>
      <c r="AD14" s="17" t="str">
        <f t="shared" si="3"/>
        <v/>
      </c>
      <c r="AE14" s="18">
        <v>1</v>
      </c>
      <c r="AF14" s="19" t="str">
        <f>IFERROR((IF(O14="",0,O14*Configuración!$B$4)+IF(R14="",0,R14*Configuración!$B$5)+IF(AA14="",0,AA14*Configuración!$B$6)+IF(AD14="",0,AD14*Configuración!$B$7))/(IF(O14="",0,Configuración!$B$4)+IF(R14="",0,Configuración!$B$5)+IF(AA14="",0,Configuración!$B$6)+IF(AD14="",0,Configuración!$B$7)),"")</f>
        <v/>
      </c>
      <c r="AG14" s="20" t="str">
        <f>IF(AF14="","",IF(AE14&lt;Configuración!$B$12,"FALLA ASIST.",IF(AF14&gt;=Configuración!$B$11,"APROBADO","REPROBADO")))</f>
        <v/>
      </c>
    </row>
    <row r="15" spans="1:33" ht="18" customHeight="1" x14ac:dyDescent="0.25">
      <c r="A15" s="21">
        <v>12</v>
      </c>
      <c r="B15" s="22" t="s">
        <v>103</v>
      </c>
      <c r="C15" s="22" t="s">
        <v>104</v>
      </c>
      <c r="D15" s="15">
        <v>1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 t="str">
        <f t="shared" si="0"/>
        <v/>
      </c>
      <c r="P15" s="16"/>
      <c r="Q15" s="16"/>
      <c r="R15" s="17" t="str">
        <f t="shared" si="1"/>
        <v/>
      </c>
      <c r="S15" s="16"/>
      <c r="T15" s="16"/>
      <c r="U15" s="16"/>
      <c r="V15" s="16"/>
      <c r="W15" s="16"/>
      <c r="X15" s="16"/>
      <c r="Y15" s="16"/>
      <c r="Z15" s="16"/>
      <c r="AA15" s="17" t="str">
        <f t="shared" si="2"/>
        <v/>
      </c>
      <c r="AB15" s="16"/>
      <c r="AC15" s="16"/>
      <c r="AD15" s="17" t="str">
        <f t="shared" si="3"/>
        <v/>
      </c>
      <c r="AE15" s="18">
        <v>1</v>
      </c>
      <c r="AF15" s="19" t="str">
        <f>IFERROR((IF(O15="",0,O15*Configuración!$B$4)+IF(R15="",0,R15*Configuración!$B$5)+IF(AA15="",0,AA15*Configuración!$B$6)+IF(AD15="",0,AD15*Configuración!$B$7))/(IF(O15="",0,Configuración!$B$4)+IF(R15="",0,Configuración!$B$5)+IF(AA15="",0,Configuración!$B$6)+IF(AD15="",0,Configuración!$B$7)),"")</f>
        <v/>
      </c>
      <c r="AG15" s="20" t="str">
        <f>IF(AF15="","",IF(AE15&lt;Configuración!$B$12,"FALLA ASIST.",IF(AF15&gt;=Configuración!$B$11,"APROBADO","REPROBADO")))</f>
        <v/>
      </c>
    </row>
    <row r="16" spans="1:33" ht="18" customHeight="1" x14ac:dyDescent="0.25">
      <c r="A16" s="13">
        <v>13</v>
      </c>
      <c r="B16" s="14" t="s">
        <v>105</v>
      </c>
      <c r="C16" s="14" t="s">
        <v>106</v>
      </c>
      <c r="D16" s="15">
        <v>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 t="str">
        <f t="shared" si="0"/>
        <v/>
      </c>
      <c r="P16" s="16"/>
      <c r="Q16" s="16"/>
      <c r="R16" s="17" t="str">
        <f t="shared" si="1"/>
        <v/>
      </c>
      <c r="S16" s="16"/>
      <c r="T16" s="16"/>
      <c r="U16" s="16"/>
      <c r="V16" s="16"/>
      <c r="W16" s="16"/>
      <c r="X16" s="16"/>
      <c r="Y16" s="16"/>
      <c r="Z16" s="16"/>
      <c r="AA16" s="17" t="str">
        <f t="shared" si="2"/>
        <v/>
      </c>
      <c r="AB16" s="16"/>
      <c r="AC16" s="16"/>
      <c r="AD16" s="17" t="str">
        <f t="shared" si="3"/>
        <v/>
      </c>
      <c r="AE16" s="18">
        <v>1</v>
      </c>
      <c r="AF16" s="19" t="str">
        <f>IFERROR((IF(O16="",0,O16*Configuración!$B$4)+IF(R16="",0,R16*Configuración!$B$5)+IF(AA16="",0,AA16*Configuración!$B$6)+IF(AD16="",0,AD16*Configuración!$B$7))/(IF(O16="",0,Configuración!$B$4)+IF(R16="",0,Configuración!$B$5)+IF(AA16="",0,Configuración!$B$6)+IF(AD16="",0,Configuración!$B$7)),"")</f>
        <v/>
      </c>
      <c r="AG16" s="20" t="str">
        <f>IF(AF16="","",IF(AE16&lt;Configuración!$B$12,"FALLA ASIST.",IF(AF16&gt;=Configuración!$B$11,"APROBADO","REPROBADO")))</f>
        <v/>
      </c>
    </row>
    <row r="17" spans="1:33" ht="18" customHeight="1" x14ac:dyDescent="0.25">
      <c r="A17" s="21">
        <v>14</v>
      </c>
      <c r="B17" s="22" t="s">
        <v>107</v>
      </c>
      <c r="C17" s="22" t="s">
        <v>108</v>
      </c>
      <c r="D17" s="15">
        <v>1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 t="str">
        <f t="shared" si="0"/>
        <v/>
      </c>
      <c r="P17" s="16"/>
      <c r="Q17" s="16"/>
      <c r="R17" s="17" t="str">
        <f t="shared" si="1"/>
        <v/>
      </c>
      <c r="S17" s="16"/>
      <c r="T17" s="16"/>
      <c r="U17" s="16"/>
      <c r="V17" s="16"/>
      <c r="W17" s="16"/>
      <c r="X17" s="16"/>
      <c r="Y17" s="16"/>
      <c r="Z17" s="16"/>
      <c r="AA17" s="17" t="str">
        <f t="shared" si="2"/>
        <v/>
      </c>
      <c r="AB17" s="16"/>
      <c r="AC17" s="16"/>
      <c r="AD17" s="17" t="str">
        <f t="shared" si="3"/>
        <v/>
      </c>
      <c r="AE17" s="18">
        <v>1</v>
      </c>
      <c r="AF17" s="19" t="str">
        <f>IFERROR((IF(O17="",0,O17*Configuración!$B$4)+IF(R17="",0,R17*Configuración!$B$5)+IF(AA17="",0,AA17*Configuración!$B$6)+IF(AD17="",0,AD17*Configuración!$B$7))/(IF(O17="",0,Configuración!$B$4)+IF(R17="",0,Configuración!$B$5)+IF(AA17="",0,Configuración!$B$6)+IF(AD17="",0,Configuración!$B$7)),"")</f>
        <v/>
      </c>
      <c r="AG17" s="20" t="str">
        <f>IF(AF17="","",IF(AE17&lt;Configuración!$B$12,"FALLA ASIST.",IF(AF17&gt;=Configuración!$B$11,"APROBADO","REPROBADO")))</f>
        <v/>
      </c>
    </row>
    <row r="18" spans="1:33" ht="18" customHeight="1" x14ac:dyDescent="0.25">
      <c r="A18" s="13">
        <v>15</v>
      </c>
      <c r="B18" s="14" t="s">
        <v>109</v>
      </c>
      <c r="C18" s="14" t="s">
        <v>110</v>
      </c>
      <c r="D18" s="15">
        <v>8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 t="str">
        <f t="shared" si="0"/>
        <v/>
      </c>
      <c r="P18" s="16"/>
      <c r="Q18" s="16"/>
      <c r="R18" s="17" t="str">
        <f t="shared" si="1"/>
        <v/>
      </c>
      <c r="S18" s="16"/>
      <c r="T18" s="16"/>
      <c r="U18" s="16"/>
      <c r="V18" s="16"/>
      <c r="W18" s="16"/>
      <c r="X18" s="16"/>
      <c r="Y18" s="16"/>
      <c r="Z18" s="16"/>
      <c r="AA18" s="17" t="str">
        <f t="shared" si="2"/>
        <v/>
      </c>
      <c r="AB18" s="16"/>
      <c r="AC18" s="16"/>
      <c r="AD18" s="17" t="str">
        <f t="shared" si="3"/>
        <v/>
      </c>
      <c r="AE18" s="18">
        <v>1</v>
      </c>
      <c r="AF18" s="19" t="str">
        <f>IFERROR((IF(O18="",0,O18*Configuración!$B$4)+IF(R18="",0,R18*Configuración!$B$5)+IF(AA18="",0,AA18*Configuración!$B$6)+IF(AD18="",0,AD18*Configuración!$B$7))/(IF(O18="",0,Configuración!$B$4)+IF(R18="",0,Configuración!$B$5)+IF(AA18="",0,Configuración!$B$6)+IF(AD18="",0,Configuración!$B$7)),"")</f>
        <v/>
      </c>
      <c r="AG18" s="20" t="str">
        <f>IF(AF18="","",IF(AE18&lt;Configuración!$B$12,"FALLA ASIST.",IF(AF18&gt;=Configuración!$B$11,"APROBADO","REPROBADO")))</f>
        <v/>
      </c>
    </row>
    <row r="19" spans="1:33" ht="18" customHeight="1" x14ac:dyDescent="0.25">
      <c r="A19" s="21">
        <v>16</v>
      </c>
      <c r="B19" s="22" t="s">
        <v>111</v>
      </c>
      <c r="C19" s="22" t="s">
        <v>112</v>
      </c>
      <c r="D19" s="15">
        <v>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 t="str">
        <f t="shared" si="0"/>
        <v/>
      </c>
      <c r="P19" s="16"/>
      <c r="Q19" s="16"/>
      <c r="R19" s="17" t="str">
        <f t="shared" si="1"/>
        <v/>
      </c>
      <c r="S19" s="16"/>
      <c r="T19" s="16"/>
      <c r="U19" s="16"/>
      <c r="V19" s="16"/>
      <c r="W19" s="16"/>
      <c r="X19" s="16"/>
      <c r="Y19" s="16"/>
      <c r="Z19" s="16"/>
      <c r="AA19" s="17" t="str">
        <f t="shared" si="2"/>
        <v/>
      </c>
      <c r="AB19" s="16"/>
      <c r="AC19" s="16"/>
      <c r="AD19" s="17" t="str">
        <f t="shared" si="3"/>
        <v/>
      </c>
      <c r="AE19" s="18">
        <v>1</v>
      </c>
      <c r="AF19" s="19" t="str">
        <f>IFERROR((IF(O19="",0,O19*Configuración!$B$4)+IF(R19="",0,R19*Configuración!$B$5)+IF(AA19="",0,AA19*Configuración!$B$6)+IF(AD19="",0,AD19*Configuración!$B$7))/(IF(O19="",0,Configuración!$B$4)+IF(R19="",0,Configuración!$B$5)+IF(AA19="",0,Configuración!$B$6)+IF(AD19="",0,Configuración!$B$7)),"")</f>
        <v/>
      </c>
      <c r="AG19" s="20" t="str">
        <f>IF(AF19="","",IF(AE19&lt;Configuración!$B$12,"FALLA ASIST.",IF(AF19&gt;=Configuración!$B$11,"APROBADO","REPROBADO")))</f>
        <v/>
      </c>
    </row>
    <row r="20" spans="1:33" ht="18" customHeight="1" x14ac:dyDescent="0.25">
      <c r="A20" s="13">
        <v>17</v>
      </c>
      <c r="B20" s="14" t="s">
        <v>113</v>
      </c>
      <c r="C20" s="14" t="s">
        <v>114</v>
      </c>
      <c r="D20" s="15">
        <v>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 t="str">
        <f t="shared" si="0"/>
        <v/>
      </c>
      <c r="P20" s="16"/>
      <c r="Q20" s="16"/>
      <c r="R20" s="17" t="str">
        <f t="shared" si="1"/>
        <v/>
      </c>
      <c r="S20" s="16"/>
      <c r="T20" s="16"/>
      <c r="U20" s="16"/>
      <c r="V20" s="16"/>
      <c r="W20" s="16"/>
      <c r="X20" s="16"/>
      <c r="Y20" s="16"/>
      <c r="Z20" s="16"/>
      <c r="AA20" s="17" t="str">
        <f t="shared" si="2"/>
        <v/>
      </c>
      <c r="AB20" s="16"/>
      <c r="AC20" s="16"/>
      <c r="AD20" s="17" t="str">
        <f t="shared" si="3"/>
        <v/>
      </c>
      <c r="AE20" s="18">
        <v>1</v>
      </c>
      <c r="AF20" s="19" t="str">
        <f>IFERROR((IF(O20="",0,O20*Configuración!$B$4)+IF(R20="",0,R20*Configuración!$B$5)+IF(AA20="",0,AA20*Configuración!$B$6)+IF(AD20="",0,AD20*Configuración!$B$7))/(IF(O20="",0,Configuración!$B$4)+IF(R20="",0,Configuración!$B$5)+IF(AA20="",0,Configuración!$B$6)+IF(AD20="",0,Configuración!$B$7)),"")</f>
        <v/>
      </c>
      <c r="AG20" s="20" t="str">
        <f>IF(AF20="","",IF(AE20&lt;Configuración!$B$12,"FALLA ASIST.",IF(AF20&gt;=Configuración!$B$11,"APROBADO","REPROBADO")))</f>
        <v/>
      </c>
    </row>
    <row r="21" spans="1:33" ht="18" customHeight="1" x14ac:dyDescent="0.25">
      <c r="A21" s="21">
        <v>18</v>
      </c>
      <c r="B21" s="22" t="s">
        <v>115</v>
      </c>
      <c r="C21" s="22" t="s">
        <v>116</v>
      </c>
      <c r="D21" s="15">
        <v>8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 t="str">
        <f t="shared" si="0"/>
        <v/>
      </c>
      <c r="P21" s="16"/>
      <c r="Q21" s="16"/>
      <c r="R21" s="17" t="str">
        <f t="shared" si="1"/>
        <v/>
      </c>
      <c r="S21" s="16"/>
      <c r="T21" s="16"/>
      <c r="U21" s="16"/>
      <c r="V21" s="16"/>
      <c r="W21" s="16"/>
      <c r="X21" s="16"/>
      <c r="Y21" s="16"/>
      <c r="Z21" s="16"/>
      <c r="AA21" s="17" t="str">
        <f t="shared" si="2"/>
        <v/>
      </c>
      <c r="AB21" s="16"/>
      <c r="AC21" s="16"/>
      <c r="AD21" s="17" t="str">
        <f t="shared" si="3"/>
        <v/>
      </c>
      <c r="AE21" s="18">
        <v>1</v>
      </c>
      <c r="AF21" s="19" t="str">
        <f>IFERROR((IF(O21="",0,O21*Configuración!$B$4)+IF(R21="",0,R21*Configuración!$B$5)+IF(AA21="",0,AA21*Configuración!$B$6)+IF(AD21="",0,AD21*Configuración!$B$7))/(IF(O21="",0,Configuración!$B$4)+IF(R21="",0,Configuración!$B$5)+IF(AA21="",0,Configuración!$B$6)+IF(AD21="",0,Configuración!$B$7)),"")</f>
        <v/>
      </c>
      <c r="AG21" s="20" t="str">
        <f>IF(AF21="","",IF(AE21&lt;Configuración!$B$12,"FALLA ASIST.",IF(AF21&gt;=Configuración!$B$11,"APROBADO","REPROBADO")))</f>
        <v/>
      </c>
    </row>
    <row r="22" spans="1:33" ht="18" customHeight="1" x14ac:dyDescent="0.25">
      <c r="A22" s="13">
        <v>19</v>
      </c>
      <c r="B22" s="14" t="s">
        <v>117</v>
      </c>
      <c r="C22" s="14" t="s">
        <v>118</v>
      </c>
      <c r="D22" s="15">
        <v>6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 t="str">
        <f t="shared" si="0"/>
        <v/>
      </c>
      <c r="P22" s="16"/>
      <c r="Q22" s="16"/>
      <c r="R22" s="17" t="str">
        <f t="shared" si="1"/>
        <v/>
      </c>
      <c r="S22" s="16"/>
      <c r="T22" s="16"/>
      <c r="U22" s="16"/>
      <c r="V22" s="16"/>
      <c r="W22" s="16"/>
      <c r="X22" s="16"/>
      <c r="Y22" s="16"/>
      <c r="Z22" s="16"/>
      <c r="AA22" s="17" t="str">
        <f t="shared" si="2"/>
        <v/>
      </c>
      <c r="AB22" s="16"/>
      <c r="AC22" s="16"/>
      <c r="AD22" s="17" t="str">
        <f t="shared" si="3"/>
        <v/>
      </c>
      <c r="AE22" s="18">
        <v>1</v>
      </c>
      <c r="AF22" s="19" t="str">
        <f>IFERROR((IF(O22="",0,O22*Configuración!$B$4)+IF(R22="",0,R22*Configuración!$B$5)+IF(AA22="",0,AA22*Configuración!$B$6)+IF(AD22="",0,AD22*Configuración!$B$7))/(IF(O22="",0,Configuración!$B$4)+IF(R22="",0,Configuración!$B$5)+IF(AA22="",0,Configuración!$B$6)+IF(AD22="",0,Configuración!$B$7)),"")</f>
        <v/>
      </c>
      <c r="AG22" s="20" t="str">
        <f>IF(AF22="","",IF(AE22&lt;Configuración!$B$12,"FALLA ASIST.",IF(AF22&gt;=Configuración!$B$11,"APROBADO","REPROBADO")))</f>
        <v/>
      </c>
    </row>
    <row r="23" spans="1:33" ht="18" customHeight="1" x14ac:dyDescent="0.25">
      <c r="A23" s="21">
        <v>20</v>
      </c>
      <c r="B23" s="22" t="s">
        <v>119</v>
      </c>
      <c r="C23" s="22" t="s">
        <v>120</v>
      </c>
      <c r="D23" s="15">
        <v>7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 t="str">
        <f t="shared" si="0"/>
        <v/>
      </c>
      <c r="P23" s="16"/>
      <c r="Q23" s="16"/>
      <c r="R23" s="17" t="str">
        <f t="shared" si="1"/>
        <v/>
      </c>
      <c r="S23" s="16"/>
      <c r="T23" s="16"/>
      <c r="U23" s="16"/>
      <c r="V23" s="16"/>
      <c r="W23" s="16"/>
      <c r="X23" s="16"/>
      <c r="Y23" s="16"/>
      <c r="Z23" s="16"/>
      <c r="AA23" s="17" t="str">
        <f t="shared" si="2"/>
        <v/>
      </c>
      <c r="AB23" s="16"/>
      <c r="AC23" s="16"/>
      <c r="AD23" s="17" t="str">
        <f t="shared" si="3"/>
        <v/>
      </c>
      <c r="AE23" s="18">
        <v>1</v>
      </c>
      <c r="AF23" s="19" t="str">
        <f>IFERROR((IF(O23="",0,O23*Configuración!$B$4)+IF(R23="",0,R23*Configuración!$B$5)+IF(AA23="",0,AA23*Configuración!$B$6)+IF(AD23="",0,AD23*Configuración!$B$7))/(IF(O23="",0,Configuración!$B$4)+IF(R23="",0,Configuración!$B$5)+IF(AA23="",0,Configuración!$B$6)+IF(AD23="",0,Configuración!$B$7)),"")</f>
        <v/>
      </c>
      <c r="AG23" s="20" t="str">
        <f>IF(AF23="","",IF(AE23&lt;Configuración!$B$12,"FALLA ASIST.",IF(AF23&gt;=Configuración!$B$11,"APROBADO","REPROBADO")))</f>
        <v/>
      </c>
    </row>
    <row r="24" spans="1:33" ht="18" customHeight="1" x14ac:dyDescent="0.25">
      <c r="A24" s="13">
        <v>21</v>
      </c>
      <c r="B24" s="14" t="s">
        <v>121</v>
      </c>
      <c r="C24" s="14" t="s">
        <v>122</v>
      </c>
      <c r="D24" s="15">
        <v>2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 t="str">
        <f t="shared" si="0"/>
        <v/>
      </c>
      <c r="P24" s="16"/>
      <c r="Q24" s="16"/>
      <c r="R24" s="17" t="str">
        <f t="shared" si="1"/>
        <v/>
      </c>
      <c r="S24" s="16"/>
      <c r="T24" s="16"/>
      <c r="U24" s="16"/>
      <c r="V24" s="16"/>
      <c r="W24" s="16"/>
      <c r="X24" s="16"/>
      <c r="Y24" s="16"/>
      <c r="Z24" s="16"/>
      <c r="AA24" s="17" t="str">
        <f t="shared" si="2"/>
        <v/>
      </c>
      <c r="AB24" s="16"/>
      <c r="AC24" s="16"/>
      <c r="AD24" s="17" t="str">
        <f t="shared" si="3"/>
        <v/>
      </c>
      <c r="AE24" s="18">
        <v>1</v>
      </c>
      <c r="AF24" s="19" t="str">
        <f>IFERROR((IF(O24="",0,O24*Configuración!$B$4)+IF(R24="",0,R24*Configuración!$B$5)+IF(AA24="",0,AA24*Configuración!$B$6)+IF(AD24="",0,AD24*Configuración!$B$7))/(IF(O24="",0,Configuración!$B$4)+IF(R24="",0,Configuración!$B$5)+IF(AA24="",0,Configuración!$B$6)+IF(AD24="",0,Configuración!$B$7)),"")</f>
        <v/>
      </c>
      <c r="AG24" s="20" t="str">
        <f>IF(AF24="","",IF(AE24&lt;Configuración!$B$12,"FALLA ASIST.",IF(AF24&gt;=Configuración!$B$11,"APROBADO","REPROBADO")))</f>
        <v/>
      </c>
    </row>
    <row r="25" spans="1:33" ht="18" customHeight="1" x14ac:dyDescent="0.25">
      <c r="A25" s="21">
        <v>22</v>
      </c>
      <c r="B25" s="22" t="s">
        <v>123</v>
      </c>
      <c r="C25" s="22" t="s">
        <v>124</v>
      </c>
      <c r="D25" s="15">
        <v>4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 t="str">
        <f t="shared" si="0"/>
        <v/>
      </c>
      <c r="P25" s="16"/>
      <c r="Q25" s="16"/>
      <c r="R25" s="17" t="str">
        <f t="shared" si="1"/>
        <v/>
      </c>
      <c r="S25" s="16"/>
      <c r="T25" s="16"/>
      <c r="U25" s="16"/>
      <c r="V25" s="16"/>
      <c r="W25" s="16"/>
      <c r="X25" s="16"/>
      <c r="Y25" s="16"/>
      <c r="Z25" s="16"/>
      <c r="AA25" s="17" t="str">
        <f t="shared" si="2"/>
        <v/>
      </c>
      <c r="AB25" s="16"/>
      <c r="AC25" s="16"/>
      <c r="AD25" s="17" t="str">
        <f t="shared" si="3"/>
        <v/>
      </c>
      <c r="AE25" s="18">
        <v>1</v>
      </c>
      <c r="AF25" s="19" t="str">
        <f>IFERROR((IF(O25="",0,O25*Configuración!$B$4)+IF(R25="",0,R25*Configuración!$B$5)+IF(AA25="",0,AA25*Configuración!$B$6)+IF(AD25="",0,AD25*Configuración!$B$7))/(IF(O25="",0,Configuración!$B$4)+IF(R25="",0,Configuración!$B$5)+IF(AA25="",0,Configuración!$B$6)+IF(AD25="",0,Configuración!$B$7)),"")</f>
        <v/>
      </c>
      <c r="AG25" s="20" t="str">
        <f>IF(AF25="","",IF(AE25&lt;Configuración!$B$12,"FALLA ASIST.",IF(AF25&gt;=Configuración!$B$11,"APROBADO","REPROBADO")))</f>
        <v/>
      </c>
    </row>
    <row r="26" spans="1:33" ht="18" customHeight="1" x14ac:dyDescent="0.25">
      <c r="A26" s="13">
        <v>23</v>
      </c>
      <c r="B26" s="14" t="s">
        <v>125</v>
      </c>
      <c r="C26" s="14" t="s">
        <v>126</v>
      </c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 t="str">
        <f t="shared" si="0"/>
        <v/>
      </c>
      <c r="P26" s="16"/>
      <c r="Q26" s="16"/>
      <c r="R26" s="17" t="str">
        <f t="shared" si="1"/>
        <v/>
      </c>
      <c r="S26" s="16"/>
      <c r="T26" s="16"/>
      <c r="U26" s="16"/>
      <c r="V26" s="16"/>
      <c r="W26" s="16"/>
      <c r="X26" s="16"/>
      <c r="Y26" s="16"/>
      <c r="Z26" s="16"/>
      <c r="AA26" s="17" t="str">
        <f t="shared" si="2"/>
        <v/>
      </c>
      <c r="AB26" s="16"/>
      <c r="AC26" s="16"/>
      <c r="AD26" s="17" t="str">
        <f t="shared" si="3"/>
        <v/>
      </c>
      <c r="AE26" s="18">
        <v>1</v>
      </c>
      <c r="AF26" s="19" t="str">
        <f>IFERROR((IF(O26="",0,O26*Configuración!$B$4)+IF(R26="",0,R26*Configuración!$B$5)+IF(AA26="",0,AA26*Configuración!$B$6)+IF(AD26="",0,AD26*Configuración!$B$7))/(IF(O26="",0,Configuración!$B$4)+IF(R26="",0,Configuración!$B$5)+IF(AA26="",0,Configuración!$B$6)+IF(AD26="",0,Configuración!$B$7)),"")</f>
        <v/>
      </c>
      <c r="AG26" s="20" t="str">
        <f>IF(AF26="","",IF(AE26&lt;Configuración!$B$12,"FALLA ASIST.",IF(AF26&gt;=Configuración!$B$11,"APROBADO","REPROBADO")))</f>
        <v/>
      </c>
    </row>
    <row r="27" spans="1:33" ht="18" customHeight="1" x14ac:dyDescent="0.25">
      <c r="A27" s="21">
        <v>24</v>
      </c>
      <c r="B27" s="22" t="s">
        <v>127</v>
      </c>
      <c r="C27" s="22" t="s">
        <v>128</v>
      </c>
      <c r="D27" s="15">
        <v>4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 t="str">
        <f t="shared" si="0"/>
        <v/>
      </c>
      <c r="P27" s="16"/>
      <c r="Q27" s="16"/>
      <c r="R27" s="17" t="str">
        <f t="shared" si="1"/>
        <v/>
      </c>
      <c r="S27" s="16"/>
      <c r="T27" s="16"/>
      <c r="U27" s="16"/>
      <c r="V27" s="16"/>
      <c r="W27" s="16"/>
      <c r="X27" s="16"/>
      <c r="Y27" s="16"/>
      <c r="Z27" s="16"/>
      <c r="AA27" s="17" t="str">
        <f t="shared" si="2"/>
        <v/>
      </c>
      <c r="AB27" s="16"/>
      <c r="AC27" s="16"/>
      <c r="AD27" s="17" t="str">
        <f t="shared" si="3"/>
        <v/>
      </c>
      <c r="AE27" s="18">
        <v>1</v>
      </c>
      <c r="AF27" s="19" t="str">
        <f>IFERROR((IF(O27="",0,O27*Configuración!$B$4)+IF(R27="",0,R27*Configuración!$B$5)+IF(AA27="",0,AA27*Configuración!$B$6)+IF(AD27="",0,AD27*Configuración!$B$7))/(IF(O27="",0,Configuración!$B$4)+IF(R27="",0,Configuración!$B$5)+IF(AA27="",0,Configuración!$B$6)+IF(AD27="",0,Configuración!$B$7)),"")</f>
        <v/>
      </c>
      <c r="AG27" s="20" t="str">
        <f>IF(AF27="","",IF(AE27&lt;Configuración!$B$12,"FALLA ASIST.",IF(AF27&gt;=Configuración!$B$11,"APROBADO","REPROBADO")))</f>
        <v/>
      </c>
    </row>
    <row r="28" spans="1:33" ht="18" customHeight="1" x14ac:dyDescent="0.25">
      <c r="A28" s="13">
        <v>25</v>
      </c>
      <c r="B28" s="14" t="s">
        <v>129</v>
      </c>
      <c r="C28" s="14" t="s">
        <v>130</v>
      </c>
      <c r="D28" s="15">
        <v>1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 t="str">
        <f t="shared" si="0"/>
        <v/>
      </c>
      <c r="P28" s="16"/>
      <c r="Q28" s="16"/>
      <c r="R28" s="17" t="str">
        <f t="shared" si="1"/>
        <v/>
      </c>
      <c r="S28" s="16"/>
      <c r="T28" s="16"/>
      <c r="U28" s="16"/>
      <c r="V28" s="16"/>
      <c r="W28" s="16"/>
      <c r="X28" s="16"/>
      <c r="Y28" s="16"/>
      <c r="Z28" s="16"/>
      <c r="AA28" s="17" t="str">
        <f t="shared" si="2"/>
        <v/>
      </c>
      <c r="AB28" s="16"/>
      <c r="AC28" s="16"/>
      <c r="AD28" s="17" t="str">
        <f t="shared" si="3"/>
        <v/>
      </c>
      <c r="AE28" s="18">
        <v>1</v>
      </c>
      <c r="AF28" s="19" t="str">
        <f>IFERROR((IF(O28="",0,O28*Configuración!$B$4)+IF(R28="",0,R28*Configuración!$B$5)+IF(AA28="",0,AA28*Configuración!$B$6)+IF(AD28="",0,AD28*Configuración!$B$7))/(IF(O28="",0,Configuración!$B$4)+IF(R28="",0,Configuración!$B$5)+IF(AA28="",0,Configuración!$B$6)+IF(AD28="",0,Configuración!$B$7)),"")</f>
        <v/>
      </c>
      <c r="AG28" s="20" t="str">
        <f>IF(AF28="","",IF(AE28&lt;Configuración!$B$12,"FALLA ASIST.",IF(AF28&gt;=Configuración!$B$11,"APROBADO","REPROBADO")))</f>
        <v/>
      </c>
    </row>
    <row r="29" spans="1:33" ht="18" customHeight="1" x14ac:dyDescent="0.25">
      <c r="A29" s="21">
        <v>26</v>
      </c>
      <c r="B29" s="22" t="s">
        <v>131</v>
      </c>
      <c r="C29" s="22" t="s">
        <v>132</v>
      </c>
      <c r="D29" s="15">
        <v>2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 t="str">
        <f t="shared" si="0"/>
        <v/>
      </c>
      <c r="P29" s="16"/>
      <c r="Q29" s="16"/>
      <c r="R29" s="17" t="str">
        <f t="shared" si="1"/>
        <v/>
      </c>
      <c r="S29" s="16"/>
      <c r="T29" s="16"/>
      <c r="U29" s="16"/>
      <c r="V29" s="16"/>
      <c r="W29" s="16"/>
      <c r="X29" s="16"/>
      <c r="Y29" s="16"/>
      <c r="Z29" s="16"/>
      <c r="AA29" s="17" t="str">
        <f t="shared" si="2"/>
        <v/>
      </c>
      <c r="AB29" s="16"/>
      <c r="AC29" s="16"/>
      <c r="AD29" s="17" t="str">
        <f t="shared" si="3"/>
        <v/>
      </c>
      <c r="AE29" s="18">
        <v>1</v>
      </c>
      <c r="AF29" s="19" t="str">
        <f>IFERROR((IF(O29="",0,O29*Configuración!$B$4)+IF(R29="",0,R29*Configuración!$B$5)+IF(AA29="",0,AA29*Configuración!$B$6)+IF(AD29="",0,AD29*Configuración!$B$7))/(IF(O29="",0,Configuración!$B$4)+IF(R29="",0,Configuración!$B$5)+IF(AA29="",0,Configuración!$B$6)+IF(AD29="",0,Configuración!$B$7)),"")</f>
        <v/>
      </c>
      <c r="AG29" s="20" t="str">
        <f>IF(AF29="","",IF(AE29&lt;Configuración!$B$12,"FALLA ASIST.",IF(AF29&gt;=Configuración!$B$11,"APROBADO","REPROBADO")))</f>
        <v/>
      </c>
    </row>
    <row r="30" spans="1:33" ht="18" customHeight="1" x14ac:dyDescent="0.25">
      <c r="A30" s="13">
        <v>27</v>
      </c>
      <c r="B30" s="14" t="s">
        <v>133</v>
      </c>
      <c r="C30" s="14" t="s">
        <v>134</v>
      </c>
      <c r="D30" s="15">
        <v>5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 t="str">
        <f t="shared" si="0"/>
        <v/>
      </c>
      <c r="P30" s="16"/>
      <c r="Q30" s="16"/>
      <c r="R30" s="17" t="str">
        <f t="shared" si="1"/>
        <v/>
      </c>
      <c r="S30" s="16"/>
      <c r="T30" s="16"/>
      <c r="U30" s="16"/>
      <c r="V30" s="16"/>
      <c r="W30" s="16"/>
      <c r="X30" s="16"/>
      <c r="Y30" s="16"/>
      <c r="Z30" s="16"/>
      <c r="AA30" s="17" t="str">
        <f t="shared" si="2"/>
        <v/>
      </c>
      <c r="AB30" s="16"/>
      <c r="AC30" s="16"/>
      <c r="AD30" s="17" t="str">
        <f t="shared" si="3"/>
        <v/>
      </c>
      <c r="AE30" s="18">
        <v>1</v>
      </c>
      <c r="AF30" s="19" t="str">
        <f>IFERROR((IF(O30="",0,O30*Configuración!$B$4)+IF(R30="",0,R30*Configuración!$B$5)+IF(AA30="",0,AA30*Configuración!$B$6)+IF(AD30="",0,AD30*Configuración!$B$7))/(IF(O30="",0,Configuración!$B$4)+IF(R30="",0,Configuración!$B$5)+IF(AA30="",0,Configuración!$B$6)+IF(AD30="",0,Configuración!$B$7)),"")</f>
        <v/>
      </c>
      <c r="AG30" s="20" t="str">
        <f>IF(AF30="","",IF(AE30&lt;Configuración!$B$12,"FALLA ASIST.",IF(AF30&gt;=Configuración!$B$11,"APROBADO","REPROBADO")))</f>
        <v/>
      </c>
    </row>
    <row r="31" spans="1:33" ht="18" customHeight="1" x14ac:dyDescent="0.25">
      <c r="A31" s="21">
        <v>28</v>
      </c>
      <c r="B31" s="22" t="s">
        <v>135</v>
      </c>
      <c r="C31" s="22" t="s">
        <v>136</v>
      </c>
      <c r="D31" s="15">
        <v>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 t="str">
        <f t="shared" si="0"/>
        <v/>
      </c>
      <c r="P31" s="16"/>
      <c r="Q31" s="16"/>
      <c r="R31" s="17" t="str">
        <f t="shared" si="1"/>
        <v/>
      </c>
      <c r="S31" s="16"/>
      <c r="T31" s="16"/>
      <c r="U31" s="16"/>
      <c r="V31" s="16"/>
      <c r="W31" s="16"/>
      <c r="X31" s="16"/>
      <c r="Y31" s="16"/>
      <c r="Z31" s="16"/>
      <c r="AA31" s="17" t="str">
        <f t="shared" si="2"/>
        <v/>
      </c>
      <c r="AB31" s="16"/>
      <c r="AC31" s="16"/>
      <c r="AD31" s="17" t="str">
        <f t="shared" si="3"/>
        <v/>
      </c>
      <c r="AE31" s="18">
        <v>1</v>
      </c>
      <c r="AF31" s="19" t="str">
        <f>IFERROR((IF(O31="",0,O31*Configuración!$B$4)+IF(R31="",0,R31*Configuración!$B$5)+IF(AA31="",0,AA31*Configuración!$B$6)+IF(AD31="",0,AD31*Configuración!$B$7))/(IF(O31="",0,Configuración!$B$4)+IF(R31="",0,Configuración!$B$5)+IF(AA31="",0,Configuración!$B$6)+IF(AD31="",0,Configuración!$B$7)),"")</f>
        <v/>
      </c>
      <c r="AG31" s="20" t="str">
        <f>IF(AF31="","",IF(AE31&lt;Configuración!$B$12,"FALLA ASIST.",IF(AF31&gt;=Configuración!$B$11,"APROBADO","REPROBADO")))</f>
        <v/>
      </c>
    </row>
    <row r="32" spans="1:33" ht="18" customHeight="1" x14ac:dyDescent="0.25">
      <c r="A32" s="13">
        <v>29</v>
      </c>
      <c r="B32" s="14" t="s">
        <v>137</v>
      </c>
      <c r="C32" s="14" t="s">
        <v>138</v>
      </c>
      <c r="D32" s="15">
        <v>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 t="str">
        <f t="shared" si="0"/>
        <v/>
      </c>
      <c r="P32" s="16"/>
      <c r="Q32" s="16"/>
      <c r="R32" s="17" t="str">
        <f t="shared" si="1"/>
        <v/>
      </c>
      <c r="S32" s="16"/>
      <c r="T32" s="16"/>
      <c r="U32" s="16"/>
      <c r="V32" s="16"/>
      <c r="W32" s="16"/>
      <c r="X32" s="16"/>
      <c r="Y32" s="16"/>
      <c r="Z32" s="16"/>
      <c r="AA32" s="17" t="str">
        <f t="shared" si="2"/>
        <v/>
      </c>
      <c r="AB32" s="16"/>
      <c r="AC32" s="16"/>
      <c r="AD32" s="17" t="str">
        <f t="shared" si="3"/>
        <v/>
      </c>
      <c r="AE32" s="18">
        <v>1</v>
      </c>
      <c r="AF32" s="19" t="str">
        <f>IFERROR((IF(O32="",0,O32*Configuración!$B$4)+IF(R32="",0,R32*Configuración!$B$5)+IF(AA32="",0,AA32*Configuración!$B$6)+IF(AD32="",0,AD32*Configuración!$B$7))/(IF(O32="",0,Configuración!$B$4)+IF(R32="",0,Configuración!$B$5)+IF(AA32="",0,Configuración!$B$6)+IF(AD32="",0,Configuración!$B$7)),"")</f>
        <v/>
      </c>
      <c r="AG32" s="20" t="str">
        <f>IF(AF32="","",IF(AE32&lt;Configuración!$B$12,"FALLA ASIST.",IF(AF32&gt;=Configuración!$B$11,"APROBADO","REPROBADO")))</f>
        <v/>
      </c>
    </row>
    <row r="33" spans="1:33" ht="18" customHeight="1" x14ac:dyDescent="0.25">
      <c r="A33" s="21">
        <v>30</v>
      </c>
      <c r="B33" s="22" t="s">
        <v>139</v>
      </c>
      <c r="C33" s="22" t="s">
        <v>140</v>
      </c>
      <c r="D33" s="15">
        <v>1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 t="str">
        <f t="shared" si="0"/>
        <v/>
      </c>
      <c r="P33" s="16"/>
      <c r="Q33" s="16"/>
      <c r="R33" s="17" t="str">
        <f t="shared" si="1"/>
        <v/>
      </c>
      <c r="S33" s="16"/>
      <c r="T33" s="16"/>
      <c r="U33" s="16"/>
      <c r="V33" s="16"/>
      <c r="W33" s="16"/>
      <c r="X33" s="16"/>
      <c r="Y33" s="16"/>
      <c r="Z33" s="16"/>
      <c r="AA33" s="17" t="str">
        <f t="shared" si="2"/>
        <v/>
      </c>
      <c r="AB33" s="16"/>
      <c r="AC33" s="16"/>
      <c r="AD33" s="17" t="str">
        <f t="shared" si="3"/>
        <v/>
      </c>
      <c r="AE33" s="18">
        <v>1</v>
      </c>
      <c r="AF33" s="19" t="str">
        <f>IFERROR((IF(O33="",0,O33*Configuración!$B$4)+IF(R33="",0,R33*Configuración!$B$5)+IF(AA33="",0,AA33*Configuración!$B$6)+IF(AD33="",0,AD33*Configuración!$B$7))/(IF(O33="",0,Configuración!$B$4)+IF(R33="",0,Configuración!$B$5)+IF(AA33="",0,Configuración!$B$6)+IF(AD33="",0,Configuración!$B$7)),"")</f>
        <v/>
      </c>
      <c r="AG33" s="20" t="str">
        <f>IF(AF33="","",IF(AE33&lt;Configuración!$B$12,"FALLA ASIST.",IF(AF33&gt;=Configuración!$B$11,"APROBADO","REPROBADO")))</f>
        <v/>
      </c>
    </row>
    <row r="34" spans="1:33" x14ac:dyDescent="0.25">
      <c r="A34" s="21">
        <v>31</v>
      </c>
      <c r="B34" s="22"/>
      <c r="C34" s="22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7" t="str">
        <f t="shared" ref="O34" si="4">IFERROR(AVERAGE(E34:N34),"")</f>
        <v/>
      </c>
      <c r="P34" s="16"/>
      <c r="Q34" s="16"/>
      <c r="R34" s="17" t="str">
        <f t="shared" ref="R34" si="5">IFERROR(AVERAGE(P34:Q34),"")</f>
        <v/>
      </c>
      <c r="S34" s="16"/>
      <c r="T34" s="16"/>
      <c r="U34" s="16"/>
      <c r="V34" s="16"/>
      <c r="W34" s="16"/>
      <c r="X34" s="16"/>
      <c r="Y34" s="16"/>
      <c r="Z34" s="16"/>
      <c r="AA34" s="17" t="str">
        <f t="shared" ref="AA34" si="6">IFERROR(AVERAGE(S34:Z34),"")</f>
        <v/>
      </c>
      <c r="AB34" s="16"/>
      <c r="AC34" s="16"/>
      <c r="AD34" s="17" t="str">
        <f t="shared" ref="AD34" si="7">IFERROR(AVERAGE(AB34:AC34),"")</f>
        <v/>
      </c>
      <c r="AE34" s="18">
        <v>1</v>
      </c>
      <c r="AF34" s="19" t="str">
        <f>IFERROR((IF(O34="",0,O34*Configuración!$B$4)+IF(R34="",0,R34*Configuración!$B$5)+IF(AA34="",0,AA34*Configuración!$B$6)+IF(AD34="",0,AD34*Configuración!$B$7))/(IF(O34="",0,Configuración!$B$4)+IF(R34="",0,Configuración!$B$5)+IF(AA34="",0,Configuración!$B$6)+IF(AD34="",0,Configuración!$B$7)),"")</f>
        <v/>
      </c>
      <c r="AG34" s="20" t="str">
        <f>IF(AF34="","",IF(AE34&lt;Configuración!$B$12,"FALLA ASIST.",IF(AF34&gt;=Configuración!$B$11,"APROBADO","REPROBADO")))</f>
        <v/>
      </c>
    </row>
    <row r="35" spans="1:33" x14ac:dyDescent="0.25">
      <c r="A35" s="23"/>
      <c r="B35" s="24" t="s">
        <v>141</v>
      </c>
      <c r="C35" s="23"/>
      <c r="D35" s="23"/>
      <c r="E35" s="25" t="str">
        <f t="shared" ref="E35:AF35" si="8">IFERROR(AVERAGE(E4:E33),"")</f>
        <v/>
      </c>
      <c r="F35" s="25" t="str">
        <f t="shared" si="8"/>
        <v/>
      </c>
      <c r="G35" s="25" t="str">
        <f t="shared" si="8"/>
        <v/>
      </c>
      <c r="H35" s="25" t="str">
        <f t="shared" si="8"/>
        <v/>
      </c>
      <c r="I35" s="25" t="str">
        <f t="shared" si="8"/>
        <v/>
      </c>
      <c r="J35" s="25" t="str">
        <f t="shared" si="8"/>
        <v/>
      </c>
      <c r="K35" s="25" t="str">
        <f t="shared" si="8"/>
        <v/>
      </c>
      <c r="L35" s="25" t="str">
        <f t="shared" si="8"/>
        <v/>
      </c>
      <c r="M35" s="25" t="str">
        <f t="shared" si="8"/>
        <v/>
      </c>
      <c r="N35" s="25" t="str">
        <f t="shared" si="8"/>
        <v/>
      </c>
      <c r="O35" s="25" t="str">
        <f t="shared" si="8"/>
        <v/>
      </c>
      <c r="P35" s="25" t="str">
        <f t="shared" si="8"/>
        <v/>
      </c>
      <c r="Q35" s="25" t="str">
        <f t="shared" si="8"/>
        <v/>
      </c>
      <c r="R35" s="25" t="str">
        <f t="shared" si="8"/>
        <v/>
      </c>
      <c r="S35" s="25" t="str">
        <f t="shared" si="8"/>
        <v/>
      </c>
      <c r="T35" s="25" t="str">
        <f t="shared" si="8"/>
        <v/>
      </c>
      <c r="U35" s="25" t="str">
        <f t="shared" si="8"/>
        <v/>
      </c>
      <c r="V35" s="25" t="str">
        <f t="shared" si="8"/>
        <v/>
      </c>
      <c r="W35" s="25" t="str">
        <f t="shared" si="8"/>
        <v/>
      </c>
      <c r="X35" s="25" t="str">
        <f t="shared" si="8"/>
        <v/>
      </c>
      <c r="Y35" s="25" t="str">
        <f t="shared" si="8"/>
        <v/>
      </c>
      <c r="Z35" s="25" t="str">
        <f t="shared" si="8"/>
        <v/>
      </c>
      <c r="AA35" s="25" t="str">
        <f t="shared" si="8"/>
        <v/>
      </c>
      <c r="AB35" s="25" t="str">
        <f t="shared" si="8"/>
        <v/>
      </c>
      <c r="AC35" s="25" t="str">
        <f t="shared" si="8"/>
        <v/>
      </c>
      <c r="AD35" s="25" t="str">
        <f t="shared" si="8"/>
        <v/>
      </c>
      <c r="AE35" s="26">
        <f t="shared" si="8"/>
        <v>1</v>
      </c>
      <c r="AF35" s="25" t="str">
        <f t="shared" si="8"/>
        <v/>
      </c>
      <c r="AG35" s="23" t="str">
        <f>COUNTIF(AG4:AG33,"APROBADO")&amp;" aprob."</f>
        <v>0 aprob.</v>
      </c>
    </row>
  </sheetData>
  <autoFilter ref="A3:AG33" xr:uid="{00000000-0009-0000-0000-000001000000}"/>
  <mergeCells count="2">
    <mergeCell ref="A1:AG1"/>
    <mergeCell ref="A2:AG2"/>
  </mergeCells>
  <conditionalFormatting sqref="AF4:AF34">
    <cfRule type="cellIs" dxfId="3" priority="2" operator="lessThan">
      <formula>3</formula>
    </cfRule>
  </conditionalFormatting>
  <conditionalFormatting sqref="AG4:AG34">
    <cfRule type="cellIs" dxfId="2" priority="3" operator="equal">
      <formula>"APROBADO"</formula>
    </cfRule>
    <cfRule type="cellIs" dxfId="1" priority="4" operator="equal">
      <formula>"REPROBADO"</formula>
    </cfRule>
    <cfRule type="cellIs" dxfId="0" priority="5" operator="equal">
      <formula>"FALLA ASIST."</formula>
    </cfRule>
  </conditionalFormatting>
  <conditionalFormatting sqref="E4:AC34">
    <cfRule type="colorScale" priority="6">
      <colorScale>
        <cfvo type="num" val="0"/>
        <cfvo type="num" val="3"/>
        <cfvo type="num" val="5"/>
        <color rgb="FFF8CBAD"/>
        <color rgb="FFFFE699"/>
        <color rgb="FFC6E0B4"/>
      </colorScale>
    </cfRule>
  </conditionalFormatting>
  <dataValidations count="3">
    <dataValidation type="decimal" allowBlank="1" showErrorMessage="1" errorTitle="Nota fuera de rango" error="Las notas van de 0.0 a 5.0." sqref="E4:AC34" xr:uid="{00000000-0002-0000-0100-000000000000}">
      <formula1>0</formula1>
      <formula2>5</formula2>
    </dataValidation>
    <dataValidation type="whole" allowBlank="1" showErrorMessage="1" errorTitle="Grupo inválido" error="Escriba el número de grupo (1 a 15)." sqref="D4:D34" xr:uid="{00000000-0002-0000-0100-000001000000}">
      <formula1>1</formula1>
      <formula2>15</formula2>
    </dataValidation>
    <dataValidation type="decimal" allowBlank="1" showErrorMessage="1" errorTitle="Asistencia inválida" error="Escriba la asistencia como fracción (0.8 = 80 %)." sqref="AE4:AE34" xr:uid="{00000000-0002-0000-0100-000002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workbookViewId="0">
      <selection sqref="A1:F1"/>
    </sheetView>
  </sheetViews>
  <sheetFormatPr baseColWidth="10" defaultColWidth="8.7109375" defaultRowHeight="15" x14ac:dyDescent="0.25"/>
  <cols>
    <col min="1" max="1" width="24" customWidth="1"/>
    <col min="2" max="2" width="12" customWidth="1"/>
    <col min="3" max="3" width="3" customWidth="1"/>
    <col min="4" max="4" width="10" customWidth="1"/>
    <col min="5" max="6" width="12" customWidth="1"/>
  </cols>
  <sheetData>
    <row r="1" spans="1:6" ht="24" customHeight="1" x14ac:dyDescent="0.25">
      <c r="A1" s="5" t="s">
        <v>142</v>
      </c>
      <c r="B1" s="5"/>
      <c r="C1" s="5"/>
      <c r="D1" s="5"/>
      <c r="E1" s="5"/>
      <c r="F1" s="5"/>
    </row>
    <row r="3" spans="1:6" x14ac:dyDescent="0.25">
      <c r="A3" s="4" t="s">
        <v>143</v>
      </c>
      <c r="B3" s="4"/>
      <c r="D3" s="4" t="s">
        <v>144</v>
      </c>
      <c r="E3" s="4"/>
      <c r="F3" s="4"/>
    </row>
    <row r="4" spans="1:6" x14ac:dyDescent="0.25">
      <c r="A4" s="27" t="s">
        <v>145</v>
      </c>
      <c r="B4" s="28">
        <f>COUNTA(Notas!$B$4:$B$33)</f>
        <v>30</v>
      </c>
      <c r="D4" s="29" t="s">
        <v>24</v>
      </c>
      <c r="E4" s="29" t="s">
        <v>146</v>
      </c>
      <c r="F4" s="29" t="s">
        <v>147</v>
      </c>
    </row>
    <row r="5" spans="1:6" x14ac:dyDescent="0.25">
      <c r="A5" s="27" t="s">
        <v>148</v>
      </c>
      <c r="B5" s="28">
        <f>COUNT(Notas!$AF$4:$AF$33)</f>
        <v>0</v>
      </c>
      <c r="D5" s="30">
        <v>1</v>
      </c>
      <c r="E5" s="31">
        <f>COUNTIF(Notas!$D$4:$D$33,$D5)</f>
        <v>4</v>
      </c>
      <c r="F5" s="32" t="str">
        <f>IFERROR(AVERAGEIF(Notas!$D$4:$D$33,$D5,Notas!$AF$4:$AF$33),"")</f>
        <v/>
      </c>
    </row>
    <row r="6" spans="1:6" x14ac:dyDescent="0.25">
      <c r="A6" s="27" t="s">
        <v>149</v>
      </c>
      <c r="B6" s="33" t="str">
        <f>IFERROR(AVERAGE(Notas!$AF$4:$AF$33),"")</f>
        <v/>
      </c>
      <c r="D6" s="30">
        <v>2</v>
      </c>
      <c r="E6" s="31">
        <f>COUNTIF(Notas!$D$4:$D$33,$D6)</f>
        <v>3</v>
      </c>
      <c r="F6" s="32" t="str">
        <f>IFERROR(AVERAGEIF(Notas!$D$4:$D$33,$D6,Notas!$AF$4:$AF$33),"")</f>
        <v/>
      </c>
    </row>
    <row r="7" spans="1:6" x14ac:dyDescent="0.25">
      <c r="A7" s="27" t="s">
        <v>150</v>
      </c>
      <c r="B7" s="33">
        <f>IFERROR(MAX(Notas!$AF$4:$AF$33),"")</f>
        <v>0</v>
      </c>
      <c r="D7" s="30">
        <v>3</v>
      </c>
      <c r="E7" s="31">
        <f>COUNTIF(Notas!$D$4:$D$33,$D7)</f>
        <v>3</v>
      </c>
      <c r="F7" s="32" t="str">
        <f>IFERROR(AVERAGEIF(Notas!$D$4:$D$33,$D7,Notas!$AF$4:$AF$33),"")</f>
        <v/>
      </c>
    </row>
    <row r="8" spans="1:6" x14ac:dyDescent="0.25">
      <c r="A8" s="27" t="s">
        <v>151</v>
      </c>
      <c r="B8" s="33">
        <f>IFERROR(MIN(Notas!$AF$4:$AF$33),"")</f>
        <v>0</v>
      </c>
      <c r="D8" s="30">
        <v>4</v>
      </c>
      <c r="E8" s="31">
        <f>COUNTIF(Notas!$D$4:$D$33,$D8)</f>
        <v>7</v>
      </c>
      <c r="F8" s="32" t="str">
        <f>IFERROR(AVERAGEIF(Notas!$D$4:$D$33,$D8,Notas!$AF$4:$AF$33),"")</f>
        <v/>
      </c>
    </row>
    <row r="9" spans="1:6" x14ac:dyDescent="0.25">
      <c r="A9" s="27" t="s">
        <v>152</v>
      </c>
      <c r="B9" s="33" t="str">
        <f>IFERROR(STDEV(Notas!$AF$4:$AF$33),"")</f>
        <v/>
      </c>
      <c r="D9" s="30">
        <v>5</v>
      </c>
      <c r="E9" s="31">
        <f>COUNTIF(Notas!$D$4:$D$33,$D9)</f>
        <v>3</v>
      </c>
      <c r="F9" s="32" t="str">
        <f>IFERROR(AVERAGEIF(Notas!$D$4:$D$33,$D9,Notas!$AF$4:$AF$33),"")</f>
        <v/>
      </c>
    </row>
    <row r="10" spans="1:6" x14ac:dyDescent="0.25">
      <c r="A10" s="27" t="s">
        <v>153</v>
      </c>
      <c r="B10" s="28">
        <f>COUNTIF(Notas!$AG$4:$AG$33,"APROBADO")</f>
        <v>0</v>
      </c>
      <c r="D10" s="30">
        <v>6</v>
      </c>
      <c r="E10" s="31">
        <f>COUNTIF(Notas!$D$4:$D$33,$D10)</f>
        <v>3</v>
      </c>
      <c r="F10" s="32" t="str">
        <f>IFERROR(AVERAGEIF(Notas!$D$4:$D$33,$D10,Notas!$AF$4:$AF$33),"")</f>
        <v/>
      </c>
    </row>
    <row r="11" spans="1:6" x14ac:dyDescent="0.25">
      <c r="A11" s="27" t="s">
        <v>154</v>
      </c>
      <c r="B11" s="28">
        <f>COUNTIF(Notas!$AG$4:$AG$33,"REPROBADO")</f>
        <v>0</v>
      </c>
      <c r="D11" s="30">
        <v>7</v>
      </c>
      <c r="E11" s="31">
        <f>COUNTIF(Notas!$D$4:$D$33,$D11)</f>
        <v>4</v>
      </c>
      <c r="F11" s="32" t="str">
        <f>IFERROR(AVERAGEIF(Notas!$D$4:$D$33,$D11,Notas!$AF$4:$AF$33),"")</f>
        <v/>
      </c>
    </row>
    <row r="12" spans="1:6" x14ac:dyDescent="0.25">
      <c r="A12" s="27" t="s">
        <v>155</v>
      </c>
      <c r="B12" s="28">
        <f>COUNTIF(Notas!$AG$4:$AG$33,"FALLA ASIST.")</f>
        <v>0</v>
      </c>
      <c r="D12" s="30">
        <v>8</v>
      </c>
      <c r="E12" s="31">
        <f>COUNTIF(Notas!$D$4:$D$33,$D12)</f>
        <v>2</v>
      </c>
      <c r="F12" s="32" t="str">
        <f>IFERROR(AVERAGEIF(Notas!$D$4:$D$33,$D12,Notas!$AF$4:$AF$33),"")</f>
        <v/>
      </c>
    </row>
    <row r="13" spans="1:6" x14ac:dyDescent="0.25">
      <c r="A13" s="27" t="s">
        <v>156</v>
      </c>
      <c r="B13" s="34" t="str">
        <f>IFERROR(COUNTIF(Notas!$AG$4:$AG$33,"APROBADO")/COUNT(Notas!$AF$4:$AF$33),"")</f>
        <v/>
      </c>
      <c r="D13" s="30">
        <v>9</v>
      </c>
      <c r="E13" s="31">
        <f>COUNTIF(Notas!$D$4:$D$33,$D13)</f>
        <v>0</v>
      </c>
      <c r="F13" s="32" t="str">
        <f>IFERROR(AVERAGEIF(Notas!$D$4:$D$33,$D13,Notas!$AF$4:$AF$33),"")</f>
        <v/>
      </c>
    </row>
    <row r="14" spans="1:6" x14ac:dyDescent="0.25">
      <c r="D14" s="30">
        <v>10</v>
      </c>
      <c r="E14" s="31">
        <f>COUNTIF(Notas!$D$4:$D$33,$D14)</f>
        <v>0</v>
      </c>
      <c r="F14" s="32" t="str">
        <f>IFERROR(AVERAGEIF(Notas!$D$4:$D$33,$D14,Notas!$AF$4:$AF$33),"")</f>
        <v/>
      </c>
    </row>
    <row r="16" spans="1:6" x14ac:dyDescent="0.25">
      <c r="A16" s="4" t="s">
        <v>157</v>
      </c>
      <c r="B16" s="4"/>
      <c r="D16" s="4" t="s">
        <v>158</v>
      </c>
      <c r="E16" s="4"/>
      <c r="F16" s="4"/>
    </row>
    <row r="17" spans="1:5" x14ac:dyDescent="0.25">
      <c r="A17" s="27" t="s">
        <v>159</v>
      </c>
      <c r="B17" s="33" t="str">
        <f>IFERROR(AVERAGE(Notas!$O$4:$O$33),"")</f>
        <v/>
      </c>
      <c r="D17" s="29" t="s">
        <v>160</v>
      </c>
      <c r="E17" s="29" t="s">
        <v>161</v>
      </c>
    </row>
    <row r="18" spans="1:5" x14ac:dyDescent="0.25">
      <c r="A18" s="27" t="s">
        <v>162</v>
      </c>
      <c r="B18" s="33" t="str">
        <f>IFERROR(AVERAGE(Notas!$R$4:$R$33),"")</f>
        <v/>
      </c>
      <c r="D18" s="35" t="s">
        <v>163</v>
      </c>
      <c r="E18" s="28">
        <f>COUNTIFS(Notas!$AF$4:$AF$33,"&gt;="&amp;0,Notas!$AF$4:$AF$33,"&lt;"&amp;2)</f>
        <v>0</v>
      </c>
    </row>
    <row r="19" spans="1:5" x14ac:dyDescent="0.25">
      <c r="A19" s="27" t="s">
        <v>164</v>
      </c>
      <c r="B19" s="33" t="str">
        <f>IFERROR(AVERAGE(Notas!$AA$4:$AA$33),"")</f>
        <v/>
      </c>
      <c r="D19" s="35" t="s">
        <v>165</v>
      </c>
      <c r="E19" s="28">
        <f>COUNTIFS(Notas!$AF$4:$AF$33,"&gt;="&amp;2,Notas!$AF$4:$AF$33,"&lt;"&amp;3)</f>
        <v>0</v>
      </c>
    </row>
    <row r="20" spans="1:5" x14ac:dyDescent="0.25">
      <c r="A20" s="27" t="s">
        <v>166</v>
      </c>
      <c r="B20" s="33" t="str">
        <f>IFERROR(AVERAGE(Notas!$AD$4:$AD$33),"")</f>
        <v/>
      </c>
      <c r="D20" s="35" t="s">
        <v>167</v>
      </c>
      <c r="E20" s="28">
        <f>COUNTIFS(Notas!$AF$4:$AF$33,"&gt;="&amp;3,Notas!$AF$4:$AF$33,"&lt;"&amp;3.5)</f>
        <v>0</v>
      </c>
    </row>
    <row r="21" spans="1:5" x14ac:dyDescent="0.25">
      <c r="D21" s="35" t="s">
        <v>168</v>
      </c>
      <c r="E21" s="28">
        <f>COUNTIFS(Notas!$AF$4:$AF$33,"&gt;="&amp;3.5,Notas!$AF$4:$AF$33,"&lt;"&amp;4)</f>
        <v>0</v>
      </c>
    </row>
    <row r="22" spans="1:5" x14ac:dyDescent="0.25">
      <c r="D22" s="35" t="s">
        <v>169</v>
      </c>
      <c r="E22" s="28">
        <f>COUNTIFS(Notas!$AF$4:$AF$33,"&gt;="&amp;4,Notas!$AF$4:$AF$33,"&lt;"&amp;4.5)</f>
        <v>0</v>
      </c>
    </row>
    <row r="23" spans="1:5" x14ac:dyDescent="0.25">
      <c r="D23" s="35" t="s">
        <v>170</v>
      </c>
      <c r="E23" s="28">
        <f>COUNTIFS(Notas!$AF$4:$AF$33,"&gt;="&amp;4.5,Notas!$AF$4:$AF$33,"&lt;"&amp;5.01)</f>
        <v>0</v>
      </c>
    </row>
  </sheetData>
  <mergeCells count="5">
    <mergeCell ref="A1:F1"/>
    <mergeCell ref="A3:B3"/>
    <mergeCell ref="D3:F3"/>
    <mergeCell ref="A16:B16"/>
    <mergeCell ref="D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zoomScaleNormal="100" workbookViewId="0">
      <selection sqref="A1:C1"/>
    </sheetView>
  </sheetViews>
  <sheetFormatPr baseColWidth="10" defaultColWidth="8.7109375" defaultRowHeight="15" x14ac:dyDescent="0.25"/>
  <cols>
    <col min="1" max="1" width="30" customWidth="1"/>
    <col min="2" max="2" width="12" customWidth="1"/>
    <col min="3" max="3" width="52" customWidth="1"/>
  </cols>
  <sheetData>
    <row r="1" spans="1:3" ht="24" customHeight="1" x14ac:dyDescent="0.25">
      <c r="A1" s="5" t="s">
        <v>171</v>
      </c>
      <c r="B1" s="5"/>
      <c r="C1" s="5"/>
    </row>
    <row r="3" spans="1:3" x14ac:dyDescent="0.25">
      <c r="A3" s="36" t="s">
        <v>172</v>
      </c>
      <c r="B3" s="36" t="s">
        <v>173</v>
      </c>
      <c r="C3" s="36" t="s">
        <v>174</v>
      </c>
    </row>
    <row r="4" spans="1:3" x14ac:dyDescent="0.25">
      <c r="A4" s="27" t="s">
        <v>175</v>
      </c>
      <c r="B4" s="37">
        <v>0.1</v>
      </c>
      <c r="C4" s="38" t="s">
        <v>176</v>
      </c>
    </row>
    <row r="5" spans="1:3" x14ac:dyDescent="0.25">
      <c r="A5" s="27" t="s">
        <v>177</v>
      </c>
      <c r="B5" s="37">
        <v>0.1</v>
      </c>
      <c r="C5" s="38" t="s">
        <v>178</v>
      </c>
    </row>
    <row r="6" spans="1:3" x14ac:dyDescent="0.25">
      <c r="A6" s="27" t="s">
        <v>179</v>
      </c>
      <c r="B6" s="37">
        <v>0.5</v>
      </c>
      <c r="C6" s="38" t="s">
        <v>180</v>
      </c>
    </row>
    <row r="7" spans="1:3" x14ac:dyDescent="0.25">
      <c r="A7" s="27" t="s">
        <v>181</v>
      </c>
      <c r="B7" s="37">
        <v>0.3</v>
      </c>
      <c r="C7" s="38" t="s">
        <v>182</v>
      </c>
    </row>
    <row r="8" spans="1:3" x14ac:dyDescent="0.25">
      <c r="A8" s="39" t="s">
        <v>183</v>
      </c>
      <c r="B8" s="40">
        <f>SUM(B4:B7)</f>
        <v>1</v>
      </c>
      <c r="C8" s="41" t="str">
        <f>IF(B8=1,"Correcto","¡Los pesos no suman 100 %!")</f>
        <v>Correcto</v>
      </c>
    </row>
    <row r="10" spans="1:3" x14ac:dyDescent="0.25">
      <c r="A10" s="4" t="s">
        <v>184</v>
      </c>
      <c r="B10" s="4"/>
      <c r="C10" s="4"/>
    </row>
    <row r="11" spans="1:3" x14ac:dyDescent="0.25">
      <c r="A11" s="27" t="s">
        <v>185</v>
      </c>
      <c r="B11" s="42">
        <v>3</v>
      </c>
      <c r="C11" s="38" t="s">
        <v>186</v>
      </c>
    </row>
    <row r="12" spans="1:3" x14ac:dyDescent="0.25">
      <c r="A12" s="27" t="s">
        <v>187</v>
      </c>
      <c r="B12" s="37">
        <v>0.8</v>
      </c>
      <c r="C12" s="38" t="s">
        <v>188</v>
      </c>
    </row>
    <row r="14" spans="1:3" x14ac:dyDescent="0.25">
      <c r="A14" s="4" t="s">
        <v>189</v>
      </c>
      <c r="B14" s="4"/>
      <c r="C14" s="4"/>
    </row>
    <row r="15" spans="1:3" x14ac:dyDescent="0.25">
      <c r="A15" s="27" t="s">
        <v>190</v>
      </c>
      <c r="B15" s="43">
        <v>5</v>
      </c>
      <c r="C15" s="44" t="s">
        <v>191</v>
      </c>
    </row>
    <row r="16" spans="1:3" x14ac:dyDescent="0.25">
      <c r="A16" s="27" t="s">
        <v>192</v>
      </c>
      <c r="B16" s="43">
        <v>4</v>
      </c>
    </row>
    <row r="17" spans="1:2" x14ac:dyDescent="0.25">
      <c r="A17" s="27" t="s">
        <v>193</v>
      </c>
      <c r="B17" s="43">
        <v>3</v>
      </c>
    </row>
    <row r="18" spans="1:2" x14ac:dyDescent="0.25">
      <c r="A18" s="27" t="s">
        <v>194</v>
      </c>
      <c r="B18" s="43">
        <v>2</v>
      </c>
    </row>
    <row r="19" spans="1:2" x14ac:dyDescent="0.25">
      <c r="A19" s="27" t="s">
        <v>195</v>
      </c>
      <c r="B19" s="43">
        <v>1</v>
      </c>
    </row>
    <row r="20" spans="1:2" x14ac:dyDescent="0.25">
      <c r="A20" s="27" t="s">
        <v>196</v>
      </c>
      <c r="B20" s="43">
        <v>0</v>
      </c>
    </row>
  </sheetData>
  <mergeCells count="3">
    <mergeCell ref="A1:C1"/>
    <mergeCell ref="A10:C10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Notas</vt:lpstr>
      <vt:lpstr>Resumen</vt:lpstr>
      <vt:lpstr>Configuración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MigPerdomo06@gmail.com</cp:lastModifiedBy>
  <cp:revision>0</cp:revision>
  <dcterms:created xsi:type="dcterms:W3CDTF">2026-09-14T04:19:32Z</dcterms:created>
  <dcterms:modified xsi:type="dcterms:W3CDTF">2026-09-14T04:21:48Z</dcterms:modified>
  <dc:language>en-US</dc:language>
</cp:coreProperties>
</file>
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miguel_perdomo\Auxiliar_docente_UNAL\Taller_de_fundamentos_de_mecanica_2026-2\Notas\"/>
    </mc:Choice>
  </mc:AlternateContent>
  <xr:revisionPtr revIDLastSave="0" documentId="13_ncr:1_{62631E60-9B87-46A8-8283-04AA8155D8E1}" xr6:coauthVersionLast="47" xr6:coauthVersionMax="47" xr10:uidLastSave="{00000000-0000-0000-0000-000000000000}"/>
  <bookViews>
    <workbookView xWindow="52680" yWindow="-1965" windowWidth="29040" windowHeight="17520" tabRatio="500" activeTab="1" xr2:uid="{00000000-000D-0000-FFFF-FFFF00000000}"/>
  </bookViews>
  <sheets>
    <sheet name="Instrucciones" sheetId="1" r:id="rId1"/>
    <sheet name="Notas" sheetId="2" r:id="rId2"/>
    <sheet name="Resumen" sheetId="3" r:id="rId3"/>
    <sheet name="Configuració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5" i="2" l="1"/>
  <c r="Z35" i="2"/>
  <c r="AB35" i="2"/>
  <c r="AC35" i="2"/>
  <c r="O36" i="2"/>
  <c r="Z36" i="2"/>
  <c r="AB36" i="2"/>
  <c r="AC36" i="2"/>
  <c r="O37" i="2"/>
  <c r="Z37" i="2"/>
  <c r="AB37" i="2"/>
  <c r="AC37" i="2"/>
  <c r="O38" i="2"/>
  <c r="Z38" i="2"/>
  <c r="AB38" i="2"/>
  <c r="AC38" i="2"/>
  <c r="AC39" i="2" s="1"/>
  <c r="N39" i="2"/>
  <c r="Z39" i="2"/>
  <c r="E39" i="2"/>
  <c r="F39" i="2"/>
  <c r="G39" i="2"/>
  <c r="H39" i="2"/>
  <c r="I39" i="2"/>
  <c r="J39" i="2"/>
  <c r="K39" i="2"/>
  <c r="L39" i="2"/>
  <c r="M39" i="2"/>
  <c r="Q39" i="2"/>
  <c r="R39" i="2"/>
  <c r="S39" i="2"/>
  <c r="T39" i="2"/>
  <c r="U39" i="2"/>
  <c r="V39" i="2"/>
  <c r="W39" i="2"/>
  <c r="X39" i="2"/>
  <c r="Y39" i="2"/>
  <c r="B6" i="4"/>
  <c r="C6" i="4" s="1"/>
  <c r="F14" i="3"/>
  <c r="E14" i="3"/>
  <c r="E13" i="3"/>
  <c r="E12" i="3"/>
  <c r="B12" i="3"/>
  <c r="E11" i="3"/>
  <c r="E10" i="3"/>
  <c r="E9" i="3"/>
  <c r="E8" i="3"/>
  <c r="E7" i="3"/>
  <c r="E6" i="3"/>
  <c r="E5" i="3"/>
  <c r="B4" i="3"/>
  <c r="Z34" i="2"/>
  <c r="O34" i="2"/>
  <c r="AB34" i="2" s="1"/>
  <c r="AC34" i="2" s="1"/>
  <c r="Z33" i="2"/>
  <c r="AB33" i="2" s="1"/>
  <c r="AC33" i="2" s="1"/>
  <c r="O33" i="2"/>
  <c r="Z32" i="2"/>
  <c r="O32" i="2"/>
  <c r="AB32" i="2" s="1"/>
  <c r="AC32" i="2" s="1"/>
  <c r="Z31" i="2"/>
  <c r="O31" i="2"/>
  <c r="AB31" i="2" s="1"/>
  <c r="AC31" i="2" s="1"/>
  <c r="Z30" i="2"/>
  <c r="O30" i="2"/>
  <c r="AB30" i="2" s="1"/>
  <c r="AC30" i="2" s="1"/>
  <c r="Z29" i="2"/>
  <c r="O29" i="2"/>
  <c r="AB29" i="2" s="1"/>
  <c r="AC29" i="2" s="1"/>
  <c r="Z28" i="2"/>
  <c r="O28" i="2"/>
  <c r="AB28" i="2" s="1"/>
  <c r="AC28" i="2" s="1"/>
  <c r="Z27" i="2"/>
  <c r="AB27" i="2" s="1"/>
  <c r="AC27" i="2" s="1"/>
  <c r="O27" i="2"/>
  <c r="Z26" i="2"/>
  <c r="O26" i="2"/>
  <c r="AB26" i="2" s="1"/>
  <c r="AC26" i="2" s="1"/>
  <c r="Z25" i="2"/>
  <c r="O25" i="2"/>
  <c r="AB25" i="2" s="1"/>
  <c r="AC25" i="2" s="1"/>
  <c r="Z24" i="2"/>
  <c r="O24" i="2"/>
  <c r="AB24" i="2" s="1"/>
  <c r="AC24" i="2" s="1"/>
  <c r="Z23" i="2"/>
  <c r="O23" i="2"/>
  <c r="AB23" i="2" s="1"/>
  <c r="AC23" i="2" s="1"/>
  <c r="Z22" i="2"/>
  <c r="O22" i="2"/>
  <c r="AB22" i="2" s="1"/>
  <c r="AC22" i="2" s="1"/>
  <c r="Z21" i="2"/>
  <c r="AB21" i="2" s="1"/>
  <c r="AC21" i="2" s="1"/>
  <c r="O21" i="2"/>
  <c r="Z20" i="2"/>
  <c r="O20" i="2"/>
  <c r="AB20" i="2" s="1"/>
  <c r="AC20" i="2" s="1"/>
  <c r="Z19" i="2"/>
  <c r="O19" i="2"/>
  <c r="AB19" i="2" s="1"/>
  <c r="Z18" i="2"/>
  <c r="O18" i="2"/>
  <c r="AB18" i="2" s="1"/>
  <c r="Z17" i="2"/>
  <c r="O17" i="2"/>
  <c r="AB17" i="2" s="1"/>
  <c r="AC17" i="2" s="1"/>
  <c r="Z16" i="2"/>
  <c r="O16" i="2"/>
  <c r="AB16" i="2" s="1"/>
  <c r="Z15" i="2"/>
  <c r="AB15" i="2" s="1"/>
  <c r="O15" i="2"/>
  <c r="Z14" i="2"/>
  <c r="O14" i="2"/>
  <c r="AB14" i="2" s="1"/>
  <c r="AC14" i="2" s="1"/>
  <c r="Z13" i="2"/>
  <c r="O13" i="2"/>
  <c r="AB13" i="2" s="1"/>
  <c r="AC13" i="2" s="1"/>
  <c r="Z12" i="2"/>
  <c r="O12" i="2"/>
  <c r="AB12" i="2" s="1"/>
  <c r="AC12" i="2" s="1"/>
  <c r="Z11" i="2"/>
  <c r="O11" i="2"/>
  <c r="AB11" i="2" s="1"/>
  <c r="Z10" i="2"/>
  <c r="O10" i="2"/>
  <c r="AB10" i="2" s="1"/>
  <c r="AC10" i="2" s="1"/>
  <c r="Z9" i="2"/>
  <c r="AB9" i="2" s="1"/>
  <c r="O9" i="2"/>
  <c r="Z8" i="2"/>
  <c r="O8" i="2"/>
  <c r="AB8" i="2" s="1"/>
  <c r="AC8" i="2" s="1"/>
  <c r="Z7" i="2"/>
  <c r="O7" i="2"/>
  <c r="AB7" i="2" s="1"/>
  <c r="Z6" i="2"/>
  <c r="O6" i="2"/>
  <c r="AB6" i="2" s="1"/>
  <c r="AC6" i="2" s="1"/>
  <c r="Z5" i="2"/>
  <c r="O5" i="2"/>
  <c r="AB5" i="2" s="1"/>
  <c r="Z4" i="2"/>
  <c r="B17" i="3" s="1"/>
  <c r="O4" i="2"/>
  <c r="O39" i="2" l="1"/>
  <c r="P39" i="2"/>
  <c r="AA39" i="2"/>
  <c r="AB39" i="2"/>
  <c r="F6" i="3"/>
  <c r="AC5" i="2"/>
  <c r="AC18" i="2"/>
  <c r="F12" i="3"/>
  <c r="F8" i="3"/>
  <c r="AC7" i="2"/>
  <c r="AC19" i="2"/>
  <c r="F7" i="3"/>
  <c r="F9" i="3"/>
  <c r="AC9" i="2"/>
  <c r="AC11" i="2"/>
  <c r="F10" i="3"/>
  <c r="F5" i="3"/>
  <c r="AC15" i="2"/>
  <c r="F13" i="3"/>
  <c r="AC16" i="2"/>
  <c r="AB4" i="2"/>
  <c r="B18" i="3"/>
  <c r="B9" i="3" l="1"/>
  <c r="E22" i="3"/>
  <c r="E21" i="3"/>
  <c r="E20" i="3"/>
  <c r="B8" i="3"/>
  <c r="E19" i="3"/>
  <c r="E18" i="3"/>
  <c r="B7" i="3"/>
  <c r="B6" i="3"/>
  <c r="F11" i="3"/>
  <c r="E23" i="3"/>
  <c r="B5" i="3"/>
  <c r="AC4" i="2"/>
  <c r="B13" i="3" l="1"/>
  <c r="B11" i="3"/>
  <c r="B10" i="3"/>
</calcChain>
</file>

<file path=xl/sharedStrings.xml><?xml version="1.0" encoding="utf-8"?>
<sst xmlns="http://schemas.openxmlformats.org/spreadsheetml/2006/main" count="189" uniqueCount="185">
  <si>
    <t>CÓMO USAR ESTE LIBRO — Taller de Fundamentos de Mecánica (1000019), Grupo 14</t>
  </si>
  <si>
    <t>LEYENDA DE COLORES</t>
  </si>
  <si>
    <t>Fondo crema, texto azul</t>
  </si>
  <si>
    <t>Celdas que USTED diligencia: Grupo, notas y asistencia.</t>
  </si>
  <si>
    <t>Fondo azul claro</t>
  </si>
  <si>
    <t>Promedios calculados automáticamente. No los edite.</t>
  </si>
  <si>
    <t>Fondo verde</t>
  </si>
  <si>
    <t>Nota final ponderada. No la edite.</t>
  </si>
  <si>
    <t>Fondo blanco/verde tenue</t>
  </si>
  <si>
    <t>Datos de identificación del estudiante.</t>
  </si>
  <si>
    <t>QUÉ DILIGENCIAR</t>
  </si>
  <si>
    <t>Columna Grupo</t>
  </si>
  <si>
    <t>Escriba el número de grupo (1, 2, 3...) de cada estudiante. Habilita el filtro y las estadísticas por grupo.</t>
  </si>
  <si>
    <t>Columnas Q1 a Q10</t>
  </si>
  <si>
    <t>Nota de cada quiz individual (quincenal, cada 2 semanas), de 0.0 a 5.0. Se aplican en los últimos minutos de la sesión.</t>
  </si>
  <si>
    <t>Columnas T1 a T10</t>
  </si>
  <si>
    <t>Sustentación en tablero (sorteo) o procedimiento escrito, una por sesión. Misma nota para todo el grupo.</t>
  </si>
  <si>
    <t>Columna Asistencia</t>
  </si>
  <si>
    <t>Fracción de sesiones asistidas: escriba 0.9 para 90 %. Es solo informativa: el programa no fija un mínimo para aprobar.</t>
  </si>
  <si>
    <t>EJEMPLO DE UNA FILA DILIGENCIADA</t>
  </si>
  <si>
    <t>Grupo</t>
  </si>
  <si>
    <t>3</t>
  </si>
  <si>
    <t>Q1 ... Q10</t>
  </si>
  <si>
    <t>4.5   3.8   5.0   (vacío)   ...   — deje en blanco lo no evaluado</t>
  </si>
  <si>
    <t>T1 ... T10</t>
  </si>
  <si>
    <t>4.2   3.9   (vacío)   ...   — misma nota para todo el grupo</t>
  </si>
  <si>
    <t>Asistencia</t>
  </si>
  <si>
    <t>0.9   (se muestra como 90 %)</t>
  </si>
  <si>
    <t>Resultado</t>
  </si>
  <si>
    <t>La nota final se calcula sola: 50 % Prom. Quices + 50 % Prom. Talleres, usando solo los componentes que ya tengan datos.</t>
  </si>
  <si>
    <t>NOTAS IMPORTANTES</t>
  </si>
  <si>
    <t>Nota parcial</t>
  </si>
  <si>
    <t>Mientras falten componentes, la NOTA FINAL es un promedio ponderado de lo ya registrado (nota parcial del curso).</t>
  </si>
  <si>
    <t>Celdas en blanco</t>
  </si>
  <si>
    <t>Una casilla vacía NO cuenta como cero: simplemente se excluye del promedio. Escriba 0.0 si la nota es cero.</t>
  </si>
  <si>
    <t>Puntualidad</t>
  </si>
  <si>
    <t>No hay quices extemporáneos ni reprogramación de sustentaciones por impuntualidad, salvo excusa médica o institucional validada (ver hoja Configuración).</t>
  </si>
  <si>
    <t>Filtros</t>
  </si>
  <si>
    <t>Fila 3 de la hoja Notas. Filtre por Grupo o por Estado.</t>
  </si>
  <si>
    <t>Pesos</t>
  </si>
  <si>
    <t>Se editan en la hoja Configuración; toda la hoja Notas se recalcula automáticamente.</t>
  </si>
  <si>
    <t>TALLER DE FUNDAMENTOS DE MECÁNICA (1000019) — GRUPO 14</t>
  </si>
  <si>
    <t xml:space="preserve">Registro de calificaciones · Semestre 2026-2 · </t>
  </si>
  <si>
    <t>#</t>
  </si>
  <si>
    <t>Estudiante</t>
  </si>
  <si>
    <t>Correo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</si>
  <si>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</si>
  <si>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</si>
  <si>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</si>
  <si>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</si>
  <si>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</si>
  <si>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</si>
  <si>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</si>
  <si>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</si>
  <si>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</si>
  <si>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</si>
  <si>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Prom. Quices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</si>
  <si>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</si>
  <si>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</si>
  <si>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</si>
  <si>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</si>
  <si>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</si>
  <si>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</si>
  <si>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</si>
  <si>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</si>
  <si>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</si>
  <si>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</si>
  <si>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Prom. Talleres</t>
  </si>
  <si>
    <t>NOTA FINAL</t>
  </si>
  <si>
    <t>Estado</t>
  </si>
  <si>
    <t>PROMEDIO DEL CURSO</t>
  </si>
  <si>
    <t>RESUMEN Y ESTADÍSTICAS DEL CURSO</t>
  </si>
  <si>
    <t>ESTADÍSTICAS GENERALES</t>
  </si>
  <si>
    <t>DESEMPEÑO POR GRUPO</t>
  </si>
  <si>
    <t>Estudiantes inscritos</t>
  </si>
  <si>
    <t>Integrantes</t>
  </si>
  <si>
    <t>Promedio</t>
  </si>
  <si>
    <t>Con nota registrada</t>
  </si>
  <si>
    <t>Promedio del curso</t>
  </si>
  <si>
    <t>Nota máxima</t>
  </si>
  <si>
    <t>Nota mínima</t>
  </si>
  <si>
    <t>Desviación estándar</t>
  </si>
  <si>
    <t>Aprobados</t>
  </si>
  <si>
    <t>Reprobados</t>
  </si>
  <si>
    <t>Asistencia promedio</t>
  </si>
  <si>
    <t>% de aprobación</t>
  </si>
  <si>
    <t>PROMEDIO POR COMPONENTE</t>
  </si>
  <si>
    <t>DISTRIBUCIÓN DE NOTAS FINALES</t>
  </si>
  <si>
    <t>Sustentación / Talleres (50 %)</t>
  </si>
  <si>
    <t>Rango</t>
  </si>
  <si>
    <t>Estudiantes</t>
  </si>
  <si>
    <t>Quices (50 %)</t>
  </si>
  <si>
    <t>0.0 – 1.9</t>
  </si>
  <si>
    <t>2.0 – 2.9</t>
  </si>
  <si>
    <t>3.0 – 3.4</t>
  </si>
  <si>
    <t>3.5 – 3.9</t>
  </si>
  <si>
    <t>4.0 – 4.4</t>
  </si>
  <si>
    <t>4.5 – 5.0</t>
  </si>
  <si>
    <t>PARÁMETROS DE EVALUACIÓN</t>
  </si>
  <si>
    <t>Componente</t>
  </si>
  <si>
    <t>Peso</t>
  </si>
  <si>
    <t>Descripción</t>
  </si>
  <si>
    <t>Sustentación / Trabajo en Grupo</t>
  </si>
  <si>
    <t>Tablero (sorteo de un integrante) o procedimiento escrito si el grupo no es sorteado. Misma nota para todo el grupo; una calificación por sesión (T1..T10).</t>
  </si>
  <si>
    <t>Quices Individuales</t>
  </si>
  <si>
    <t>Individuales, quincenales (cada 2 semanas), durante los últimos minutos de la sesión (Q1..Q10).</t>
  </si>
  <si>
    <t>TOTAL</t>
  </si>
  <si>
    <t>CRITERIOS DE APROBACIÓN</t>
  </si>
  <si>
    <t>Nota mínima aprobatoria</t>
  </si>
  <si>
    <t>Escala 0.0 – 5.0</t>
  </si>
  <si>
    <t>N/A</t>
  </si>
  <si>
    <t>El programa del Taller 14 no fija un porcentaje mínimo de asistencia para aprobar. La columna Asistencia en la hoja Notas es solo de referencia.</t>
  </si>
  <si>
    <t>PUNTUALIDAD</t>
  </si>
  <si>
    <t>Quices y sustentaciones</t>
  </si>
  <si>
    <t>Inician estrictamente a la hora estipulada. No se realizan quices extemporáneos ni se reprograman sustentaciones por impuntualidad, salvo excusa médica o institucional debidamente validada.</t>
  </si>
  <si>
    <t>AGUDELO URREA, NICOLAS</t>
  </si>
  <si>
    <t>AGUILAR MOYANO, CARLOS GUILLERMO</t>
  </si>
  <si>
    <t>ALBA CAMACHO, JUAN MANUEL</t>
  </si>
  <si>
    <t>ALFONSO VASQUEZ, ASHLEY GABRIELA</t>
  </si>
  <si>
    <t>ARÉVALO BAREÑO, JUAN DIEGO</t>
  </si>
  <si>
    <t>ARREDONDO SALGADO, SOFÍA</t>
  </si>
  <si>
    <t>BARON GAMA, JOSE MANUEL</t>
  </si>
  <si>
    <t>BERMÚDEZ SALAZAR, MIGUEL ÁNGEL</t>
  </si>
  <si>
    <t>BERNAL ROJAS, MARIAN SOFIA</t>
  </si>
  <si>
    <t>CARRILLO MARTINEZ, SANTIAGO ANDRES</t>
  </si>
  <si>
    <t>CONGUTA CASAS, VALERY JULIANA</t>
  </si>
  <si>
    <t>CRUZ RAMIREZ, THOMAS JERONIMO</t>
  </si>
  <si>
    <t>DELGADO VARGAS, SANTIAGO</t>
  </si>
  <si>
    <t>FIGUEREDO RINCON, DAVID SANTIAGO</t>
  </si>
  <si>
    <t>FRESNEDA CARRANZA, NICOLAS</t>
  </si>
  <si>
    <t>GARCÍA CALDAS, NICOLLE</t>
  </si>
  <si>
    <t>GARCIA MERCADO, LUISA FERNANDA</t>
  </si>
  <si>
    <t>HERNÁNDEZ MÉNDEZ, DANIEL ESTEBAN</t>
  </si>
  <si>
    <t>MARIN CASTRO, DIEGO ALEJANDRO</t>
  </si>
  <si>
    <t>MEDINA NEIRA, ANDRES FELIPE</t>
  </si>
  <si>
    <t>MERCHAN ANGULO, SEBASTIAN</t>
  </si>
  <si>
    <t>NIÑO ALAYÓN, LAURA DANIELA</t>
  </si>
  <si>
    <t>OLARTE QUIROGA, JUAN EMILIO</t>
  </si>
  <si>
    <t>OYOLA RICARDO, ALEJANDRA</t>
  </si>
  <si>
    <t>PEDRAZA ALARCON, TOMAS DAVID</t>
  </si>
  <si>
    <t>PEÑA RODRIGUEZ, SAMUEL</t>
  </si>
  <si>
    <t>PEREZ PEÑA, JUAN NICOLAS</t>
  </si>
  <si>
    <t>Preciado Castillo, Mimi Johana</t>
  </si>
  <si>
    <t>RAMIREZ ORTIZ, SEBASTIAN</t>
  </si>
  <si>
    <t>SAENZ LABRADA, JUAN PABLO</t>
  </si>
  <si>
    <t>SANTIS ALVAREZ, LUNA SOFIA</t>
  </si>
  <si>
    <t>TACHA MORALES, LUISA FERNANDA</t>
  </si>
  <si>
    <t>VALDERRAMA GOMEZ, SAMUEL</t>
  </si>
  <si>
    <t>VELEZ DIAZ, DUBAN ANDRE</t>
  </si>
  <si>
    <t>ZAPATA MUÑOZ, JOAQUIN ANDRES</t>
  </si>
  <si>
    <t>nagudelou@unal.edu.co</t>
  </si>
  <si>
    <t>caguilarmo@unal.edu.co</t>
  </si>
  <si>
    <t>jalbac@unal.edu.co</t>
  </si>
  <si>
    <t>asalfonsov@unal.edu.co</t>
  </si>
  <si>
    <t>jarevalob@unal.edu.co</t>
  </si>
  <si>
    <t>sarredondos@unal.edu.co</t>
  </si>
  <si>
    <t>jobarong@unal.edu.co</t>
  </si>
  <si>
    <t>mibermudezs@unal.edu.co</t>
  </si>
  <si>
    <t>mbernalro@unal.edu.co</t>
  </si>
  <si>
    <t>scarrilloma@unal.edu.co</t>
  </si>
  <si>
    <t>vconguta@unal.edu.co</t>
  </si>
  <si>
    <t>tcruz@unal.edu.co</t>
  </si>
  <si>
    <t>sadelgadov@unal.edu.co</t>
  </si>
  <si>
    <t>dfigueredor@unal.edu.co</t>
  </si>
  <si>
    <t>nfresneda@unal.edu.co</t>
  </si>
  <si>
    <t>nicgarciaca@unal.edu.co</t>
  </si>
  <si>
    <t>lugarciame@unal.edu.co</t>
  </si>
  <si>
    <t>danhernandezme@unal.edu.co</t>
  </si>
  <si>
    <t>diemarinca@unal.edu.co</t>
  </si>
  <si>
    <t>amedinan@unal.edu.co</t>
  </si>
  <si>
    <t>semerchana@unal.edu.co</t>
  </si>
  <si>
    <t>lninoal@unal.edu.co</t>
  </si>
  <si>
    <t>juolarteq@unal.edu.co</t>
  </si>
  <si>
    <t>aoyolar@unal.edu.co</t>
  </si>
  <si>
    <t>tpedraza@unal.edu.co</t>
  </si>
  <si>
    <t>sapenaro@unal.edu.co</t>
  </si>
  <si>
    <t>juaperezpe@unal.edu.co</t>
  </si>
  <si>
    <t>mipreciadoc@unal.edu.co</t>
  </si>
  <si>
    <t>seramirezo@unal.edu.co</t>
  </si>
  <si>
    <t>jusaenzl@unal.edu.co</t>
  </si>
  <si>
    <t>lsantis@unal.edu.co</t>
  </si>
  <si>
    <t>ltacha@unal.edu.co</t>
  </si>
  <si>
    <t>savalderramag@unal.edu.co</t>
  </si>
  <si>
    <t>duvelezd@unal.edu.co</t>
  </si>
  <si>
    <t>jozapatam@unal.edu.co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</si>
</sst>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sz val="10"/>
      <name val="Arial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FFFFFF"/>
      <name val="Arial"/>
      <charset val="1"/>
    </font>
    <font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10"/>
      <color rgb="FF0000FF"/>
      <name val="Arial"/>
      <charset val="1"/>
    </font>
    <font>
      <sz val="9"/>
      <color rgb="FF0000FF"/>
      <name val="Arial"/>
      <charset val="1"/>
    </font>
    <font>
      <sz val="11"/>
      <color rgb="FF00661F"/>
      <name val="Arial"/>
      <charset val="1"/>
    </font>
    <font>
      <b/>
      <sz val="9"/>
      <name val="Arial"/>
      <charset val="1"/>
    </font>
    <font>
      <b/>
      <sz val="9"/>
      <color rgb="FF00661F"/>
      <name val="Arial"/>
      <charset val="1"/>
    </font>
    <font>
      <sz val="9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9933"/>
        <bgColor rgb="FF008080"/>
      </patternFill>
    </fill>
    <fill>
      <patternFill patternType="solid">
        <fgColor rgb="FF00661F"/>
        <bgColor rgb="FF008080"/>
      </patternFill>
    </fill>
    <fill>
      <patternFill patternType="solid">
        <fgColor rgb="FFFFF7DB"/>
        <bgColor rgb="FFF0FAF3"/>
      </patternFill>
    </fill>
    <fill>
      <patternFill patternType="solid">
        <fgColor rgb="FFE8EEF7"/>
        <bgColor rgb="FFF0FAF3"/>
      </patternFill>
    </fill>
    <fill>
      <patternFill patternType="solid">
        <fgColor rgb="FFD9F2E0"/>
        <bgColor rgb="FFE8EEF7"/>
      </patternFill>
    </fill>
    <fill>
      <patternFill patternType="solid">
        <fgColor rgb="FFF0FAF3"/>
        <bgColor rgb="FFFFFFFF"/>
      </patternFill>
    </fill>
    <fill>
      <patternFill patternType="solid">
        <fgColor rgb="FFFFFFFF"/>
        <bgColor rgb="FFF0FAF3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4" fillId="4" borderId="0" xfId="0" applyFont="1" applyFill="1" applyAlignment="1">
      <alignment vertical="top"/>
    </xf>
    <xf numFmtId="0" fontId="6" fillId="5" borderId="0" xfId="0" applyFont="1" applyFill="1" applyAlignment="1">
      <alignment vertical="top"/>
    </xf>
    <xf numFmtId="0" fontId="6" fillId="6" borderId="0" xfId="0" applyFont="1" applyFill="1" applyAlignment="1">
      <alignment vertical="top"/>
    </xf>
    <xf numFmtId="0" fontId="6" fillId="7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1" fontId="11" fillId="4" borderId="2" xfId="0" applyNumberFormat="1" applyFont="1" applyFill="1" applyBorder="1" applyAlignment="1">
      <alignment horizontal="center" vertical="center" wrapText="1"/>
    </xf>
    <xf numFmtId="164" fontId="12" fillId="4" borderId="2" xfId="0" applyNumberFormat="1" applyFont="1" applyFill="1" applyBorder="1" applyAlignment="1">
      <alignment horizontal="center" vertical="center" wrapText="1"/>
    </xf>
    <xf numFmtId="2" fontId="10" fillId="5" borderId="2" xfId="0" applyNumberFormat="1" applyFont="1" applyFill="1" applyBorder="1" applyAlignment="1">
      <alignment horizontal="center" vertical="center" wrapText="1"/>
    </xf>
    <xf numFmtId="9" fontId="12" fillId="4" borderId="2" xfId="0" applyNumberFormat="1" applyFont="1" applyFill="1" applyBorder="1" applyAlignment="1">
      <alignment horizontal="center" vertical="center" wrapText="1"/>
    </xf>
    <xf numFmtId="2" fontId="13" fillId="6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6" borderId="0" xfId="0" applyFill="1"/>
    <xf numFmtId="0" fontId="14" fillId="6" borderId="0" xfId="0" applyFont="1" applyFill="1" applyAlignment="1">
      <alignment horizontal="left" vertical="center"/>
    </xf>
    <xf numFmtId="164" fontId="14" fillId="6" borderId="0" xfId="0" applyNumberFormat="1" applyFont="1" applyFill="1" applyAlignment="1">
      <alignment horizontal="center" vertical="center" wrapText="1"/>
    </xf>
    <xf numFmtId="2" fontId="14" fillId="6" borderId="0" xfId="0" applyNumberFormat="1" applyFont="1" applyFill="1" applyAlignment="1">
      <alignment horizontal="center" vertical="center" wrapText="1"/>
    </xf>
    <xf numFmtId="9" fontId="14" fillId="6" borderId="0" xfId="0" applyNumberFormat="1" applyFont="1" applyFill="1" applyAlignment="1">
      <alignment horizontal="center" vertical="center" wrapText="1"/>
    </xf>
    <xf numFmtId="2" fontId="15" fillId="6" borderId="0" xfId="0" applyNumberFormat="1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5" fillId="0" borderId="3" xfId="0" applyFont="1" applyBorder="1"/>
    <xf numFmtId="1" fontId="6" fillId="5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5" fillId="5" borderId="3" xfId="0" applyNumberFormat="1" applyFont="1" applyFill="1" applyBorder="1" applyAlignment="1">
      <alignment horizontal="center"/>
    </xf>
    <xf numFmtId="2" fontId="5" fillId="5" borderId="3" xfId="0" applyNumberFormat="1" applyFont="1" applyFill="1" applyBorder="1" applyAlignment="1">
      <alignment horizontal="center"/>
    </xf>
    <xf numFmtId="2" fontId="6" fillId="5" borderId="3" xfId="0" applyNumberFormat="1" applyFont="1" applyFill="1" applyBorder="1" applyAlignment="1">
      <alignment horizontal="center"/>
    </xf>
    <xf numFmtId="9" fontId="6" fillId="5" borderId="3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9" fontId="0" fillId="0" borderId="0" xfId="0" applyNumberFormat="1" applyAlignment="1">
      <alignment horizontal="center" vertical="center" wrapText="1"/>
    </xf>
    <xf numFmtId="0" fontId="14" fillId="0" borderId="0" xfId="0" applyFont="1"/>
    <xf numFmtId="9" fontId="1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49" fontId="1" fillId="0" borderId="0" xfId="1" applyNumberFormat="1"/>
    <xf numFmtId="49" fontId="1" fillId="0" borderId="0" xfId="1" applyNumberFormat="1"/>
    <xf numFmtId="164" fontId="16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3" fillId="3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BEA2CA8D-3B4E-4912-8DBD-64ED7BE74222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1F"/>
      <rgbColor rgb="FF000080"/>
      <rgbColor rgb="FF808000"/>
      <rgbColor rgb="FF800080"/>
      <rgbColor rgb="FF009933"/>
      <rgbColor rgb="FFBFBFBF"/>
      <rgbColor rgb="FF808080"/>
      <rgbColor rgb="FF9999FF"/>
      <rgbColor rgb="FF993366"/>
      <rgbColor rgb="FFFFF7DB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AF3"/>
      <rgbColor rgb="FFD9F2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13" zoomScaleNormal="100" workbookViewId="0"/>
  </sheetViews>
  <sheetFormatPr baseColWidth="10" defaultColWidth="8.7109375" defaultRowHeight="15" x14ac:dyDescent="0.25"/>
  <cols>
    <col min="1" max="1" width="26" customWidth="1"/>
    <col min="2" max="3" width="30" customWidth="1"/>
    <col min="4" max="4" width="26" customWidth="1"/>
  </cols>
  <sheetData>
    <row r="1" spans="1:4" ht="24" customHeight="1" x14ac:dyDescent="0.25">
      <c r="A1" s="43" t="s">
        <v>0</v>
      </c>
      <c r="B1" s="43"/>
      <c r="C1" s="43"/>
      <c r="D1" s="43"/>
    </row>
    <row r="3" spans="1:4" x14ac:dyDescent="0.25">
      <c r="A3" s="42" t="s">
        <v>1</v>
      </c>
      <c r="B3" s="42"/>
      <c r="C3" s="42"/>
      <c r="D3" s="42"/>
    </row>
    <row r="4" spans="1:4" ht="27.75" customHeight="1" x14ac:dyDescent="0.25">
      <c r="A4" s="1" t="s">
        <v>2</v>
      </c>
      <c r="B4" s="41" t="s">
        <v>3</v>
      </c>
      <c r="C4" s="41"/>
      <c r="D4" s="41"/>
    </row>
    <row r="5" spans="1:4" ht="27.75" customHeight="1" x14ac:dyDescent="0.25">
      <c r="A5" s="2" t="s">
        <v>4</v>
      </c>
      <c r="B5" s="41" t="s">
        <v>5</v>
      </c>
      <c r="C5" s="41"/>
      <c r="D5" s="41"/>
    </row>
    <row r="6" spans="1:4" ht="27.75" customHeight="1" x14ac:dyDescent="0.25">
      <c r="A6" s="3" t="s">
        <v>6</v>
      </c>
      <c r="B6" s="41" t="s">
        <v>7</v>
      </c>
      <c r="C6" s="41"/>
      <c r="D6" s="41"/>
    </row>
    <row r="7" spans="1:4" ht="27.75" customHeight="1" x14ac:dyDescent="0.25">
      <c r="A7" s="4" t="s">
        <v>8</v>
      </c>
      <c r="B7" s="41" t="s">
        <v>9</v>
      </c>
      <c r="C7" s="41"/>
      <c r="D7" s="41"/>
    </row>
    <row r="9" spans="1:4" x14ac:dyDescent="0.25">
      <c r="A9" s="42" t="s">
        <v>10</v>
      </c>
      <c r="B9" s="42"/>
      <c r="C9" s="42"/>
      <c r="D9" s="42"/>
    </row>
    <row r="10" spans="1:4" ht="27.75" customHeight="1" x14ac:dyDescent="0.25">
      <c r="A10" s="5" t="s">
        <v>11</v>
      </c>
      <c r="B10" s="41" t="s">
        <v>12</v>
      </c>
      <c r="C10" s="41"/>
      <c r="D10" s="41"/>
    </row>
    <row r="11" spans="1:4" ht="27.75" customHeight="1" x14ac:dyDescent="0.25">
      <c r="A11" s="5" t="s">
        <v>13</v>
      </c>
      <c r="B11" s="41" t="s">
        <v>14</v>
      </c>
      <c r="C11" s="41"/>
      <c r="D11" s="41"/>
    </row>
    <row r="12" spans="1:4" ht="27.75" customHeight="1" x14ac:dyDescent="0.25">
      <c r="A12" s="5" t="s">
        <v>15</v>
      </c>
      <c r="B12" s="41" t="s">
        <v>16</v>
      </c>
      <c r="C12" s="41"/>
      <c r="D12" s="41"/>
    </row>
    <row r="13" spans="1:4" ht="27.75" customHeight="1" x14ac:dyDescent="0.25">
      <c r="A13" s="5" t="s">
        <v>17</v>
      </c>
      <c r="B13" s="41" t="s">
        <v>18</v>
      </c>
      <c r="C13" s="41"/>
      <c r="D13" s="41"/>
    </row>
    <row r="14" spans="1:4" ht="27.75" customHeight="1" x14ac:dyDescent="0.25">
      <c r="A14" s="5"/>
      <c r="B14" s="41"/>
      <c r="C14" s="41"/>
      <c r="D14" s="41"/>
    </row>
    <row r="15" spans="1:4" ht="27.75" customHeight="1" x14ac:dyDescent="0.25">
      <c r="A15" s="5"/>
      <c r="B15" s="41"/>
      <c r="C15" s="41"/>
      <c r="D15" s="41"/>
    </row>
    <row r="17" spans="1:4" x14ac:dyDescent="0.25">
      <c r="A17" s="42" t="s">
        <v>19</v>
      </c>
      <c r="B17" s="42"/>
      <c r="C17" s="42"/>
      <c r="D17" s="42"/>
    </row>
    <row r="18" spans="1:4" ht="27.75" customHeight="1" x14ac:dyDescent="0.25">
      <c r="A18" s="5" t="s">
        <v>20</v>
      </c>
      <c r="B18" s="41" t="s">
        <v>21</v>
      </c>
      <c r="C18" s="41"/>
      <c r="D18" s="41"/>
    </row>
    <row r="19" spans="1:4" ht="27.75" customHeight="1" x14ac:dyDescent="0.25">
      <c r="A19" s="5" t="s">
        <v>22</v>
      </c>
      <c r="B19" s="41" t="s">
        <v>23</v>
      </c>
      <c r="C19" s="41"/>
      <c r="D19" s="41"/>
    </row>
    <row r="20" spans="1:4" ht="27.75" customHeight="1" x14ac:dyDescent="0.25">
      <c r="A20" s="5" t="s">
        <v>24</v>
      </c>
      <c r="B20" s="41" t="s">
        <v>25</v>
      </c>
      <c r="C20" s="41"/>
      <c r="D20" s="41"/>
    </row>
    <row r="21" spans="1:4" ht="27.75" customHeight="1" x14ac:dyDescent="0.25">
      <c r="A21" s="5" t="s">
        <v>26</v>
      </c>
      <c r="B21" s="41" t="s">
        <v>27</v>
      </c>
      <c r="C21" s="41"/>
      <c r="D21" s="41"/>
    </row>
    <row r="22" spans="1:4" ht="27.75" customHeight="1" x14ac:dyDescent="0.25">
      <c r="A22" s="5" t="s">
        <v>28</v>
      </c>
      <c r="B22" s="41" t="s">
        <v>29</v>
      </c>
      <c r="C22" s="41"/>
      <c r="D22" s="41"/>
    </row>
    <row r="23" spans="1:4" ht="27.75" customHeight="1" x14ac:dyDescent="0.25">
      <c r="A23" s="5"/>
      <c r="B23" s="41"/>
      <c r="C23" s="41"/>
      <c r="D23" s="41"/>
    </row>
    <row r="24" spans="1:4" ht="27.75" customHeight="1" x14ac:dyDescent="0.25">
      <c r="A24" s="5"/>
      <c r="B24" s="41"/>
      <c r="C24" s="41"/>
      <c r="D24" s="41"/>
    </row>
    <row r="26" spans="1:4" x14ac:dyDescent="0.25">
      <c r="A26" s="42" t="s">
        <v>30</v>
      </c>
      <c r="B26" s="42"/>
      <c r="C26" s="42"/>
      <c r="D26" s="42"/>
    </row>
    <row r="27" spans="1:4" ht="27.75" customHeight="1" x14ac:dyDescent="0.25">
      <c r="A27" s="5" t="s">
        <v>31</v>
      </c>
      <c r="B27" s="41" t="s">
        <v>32</v>
      </c>
      <c r="C27" s="41"/>
      <c r="D27" s="41"/>
    </row>
    <row r="28" spans="1:4" ht="27.75" customHeight="1" x14ac:dyDescent="0.25">
      <c r="A28" s="5" t="s">
        <v>33</v>
      </c>
      <c r="B28" s="41" t="s">
        <v>34</v>
      </c>
      <c r="C28" s="41"/>
      <c r="D28" s="41"/>
    </row>
    <row r="29" spans="1:4" ht="27.75" customHeight="1" x14ac:dyDescent="0.25">
      <c r="A29" s="5" t="s">
        <v>35</v>
      </c>
      <c r="B29" s="41" t="s">
        <v>36</v>
      </c>
      <c r="C29" s="41"/>
      <c r="D29" s="41"/>
    </row>
    <row r="30" spans="1:4" ht="27.75" customHeight="1" x14ac:dyDescent="0.25">
      <c r="A30" s="5" t="s">
        <v>37</v>
      </c>
      <c r="B30" s="41" t="s">
        <v>38</v>
      </c>
      <c r="C30" s="41"/>
      <c r="D30" s="41"/>
    </row>
    <row r="31" spans="1:4" ht="27.75" customHeight="1" x14ac:dyDescent="0.25">
      <c r="A31" s="5" t="s">
        <v>39</v>
      </c>
      <c r="B31" s="41" t="s">
        <v>40</v>
      </c>
      <c r="C31" s="41"/>
      <c r="D31" s="41"/>
    </row>
  </sheetData>
  <mergeCells count="27">
    <mergeCell ref="A1:D1"/>
    <mergeCell ref="A3:D3"/>
    <mergeCell ref="B4:D4"/>
    <mergeCell ref="B5:D5"/>
    <mergeCell ref="B6:D6"/>
    <mergeCell ref="B7:D7"/>
    <mergeCell ref="A9:D9"/>
    <mergeCell ref="B10:D10"/>
    <mergeCell ref="B11:D11"/>
    <mergeCell ref="B12:D12"/>
    <mergeCell ref="B13:D13"/>
    <mergeCell ref="B14:D14"/>
    <mergeCell ref="B15:D15"/>
    <mergeCell ref="A17:D17"/>
    <mergeCell ref="B18:D18"/>
    <mergeCell ref="B19:D19"/>
    <mergeCell ref="B20:D20"/>
    <mergeCell ref="B21:D21"/>
    <mergeCell ref="B22:D22"/>
    <mergeCell ref="B23:D23"/>
    <mergeCell ref="B30:D30"/>
    <mergeCell ref="B31:D31"/>
    <mergeCell ref="B24:D24"/>
    <mergeCell ref="A26:D26"/>
    <mergeCell ref="B27:D27"/>
    <mergeCell ref="B28:D28"/>
    <mergeCell ref="B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9"/>
  <sheetViews>
    <sheetView tabSelected="1" zoomScaleNormal="100" workbookViewId="0">
      <pane xSplit="4" ySplit="3" topLeftCell="E7" activePane="bottomRight" state="frozen"/>
      <selection pane="topRight" activeCell="E1" sqref="E1"/>
      <selection pane="bottomLeft" activeCell="A4" sqref="A4"/>
      <selection pane="bottomRight" activeCell="D38" sqref="D38"/>
    </sheetView>
  </sheetViews>
  <sheetFormatPr baseColWidth="10" defaultColWidth="8.7109375" defaultRowHeight="15" x14ac:dyDescent="0.25"/>
  <cols>
    <col min="1" max="1" width="4.42578125" customWidth="1"/>
    <col min="2" max="2" width="43.140625" customWidth="1"/>
    <col min="3" max="3" width="27.85546875" customWidth="1"/>
    <col min="4" max="4" width="7.42578125" customWidth="1"/>
    <col min="5" max="14" width="6.5703125" customWidth="1"/>
    <col min="15" max="15" width="11" customWidth="1"/>
    <col min="16" max="25" width="6.5703125" customWidth="1"/>
    <col min="26" max="26" width="11" customWidth="1"/>
    <col min="27" max="27" width="10" customWidth="1"/>
    <col min="28" max="28" width="11" customWidth="1"/>
    <col min="29" max="29" width="13" customWidth="1"/>
  </cols>
  <sheetData>
    <row r="1" spans="1:29" ht="25.5" customHeight="1" x14ac:dyDescent="0.25">
      <c r="A1" s="44" t="s">
        <v>41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15.75" customHeight="1" x14ac:dyDescent="0.25">
      <c r="A2" s="45" t="s">
        <v>42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29" ht="33.75" customHeight="1" thickBot="1" x14ac:dyDescent="0.3">
      <c r="A3" s="6" t="s">
        <v>43</v>
      </c>
      <c r="B3" s="6" t="s">
        <v>44</v>
      </c>
      <c r="C3" s="6" t="s">
        <v>45</v>
      </c>
      <c r="D3" s="6" t="s">
        <v>20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52</v>
      </c>
      <c r="L3" s="6" t="s">
        <v>53</v>
      </c>
      <c r="M3" s="6" t="s">
        <v>54</v>
      </c>
      <c r="N3" s="6" t="s">
        <v>55</v>
      </c>
      <c r="O3" s="6" t="s">
        <v>56</v>
      </c>
      <c r="P3" s="6" t="s">
        <v>57</v>
      </c>
      <c r="Q3" s="6" t="s">
        <v>58</v>
      </c>
      <c r="R3" s="6" t="s">
        <v>59</v>
      </c>
      <c r="S3" s="6" t="s">
        <v>60</v>
      </c>
      <c r="T3" s="6" t="s">
        <v>61</v>
      </c>
      <c r="U3" s="6" t="s">
        <v>62</v>
      </c>
      <c r="V3" s="6" t="s">
        <v>63</v>
      </c>
      <c r="W3" s="6" t="s">
        <v>64</v>
      </c>
      <c r="X3" s="6" t="s">
        <v>65</v>
      </c>
      <c r="Y3" s="6" t="s">
        <v>66</v>
      </c>
      <c r="Z3" s="6" t="s">
        <v>67</v>
      </c>
      <c r="AA3" s="6" t="s">
        <v>26</v>
      </c>
      <c r="AB3" s="7" t="s">
        <v>68</v>
      </c>
      <c r="AC3" s="6" t="s">
        <v>69</v>
      </c>
    </row>
    <row r="4" spans="1:29" ht="18" customHeight="1" x14ac:dyDescent="0.25">
      <c r="A4" s="8">
        <v>1</v>
      </c>
      <c r="B4" s="38" t="s">
        <v>115</v>
      </c>
      <c r="C4" s="39" t="s">
        <v>150</v>
      </c>
      <c r="D4" s="9">
        <v>7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1" t="str">
        <f t="shared" ref="O4:O34" si="0">IFERROR(AVERAGE(E4:N4),"")</f>
        <v/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1" t="str">
        <f t="shared" ref="Z4:Z34" si="1">IFERROR(AVERAGE(P4:Y4),"")</f>
        <v/>
      </c>
      <c r="AA4" s="12">
        <v>1</v>
      </c>
      <c r="AB4" s="13" t="str">
        <f>IFERROR((IF(O4="",0,O4*Configuración!$B$4)+IF(Z4="",0,Z4*Configuración!$B$5))/(IF(O4="",0,Configuración!$B$4)+IF(Z4="",0,Configuración!$B$5)),"")</f>
        <v/>
      </c>
      <c r="AC4" s="14" t="str">
        <f>IF(AB4="","",IF(AB4&gt;=Configuración!$B$9,"APROBADO","REPROBADO"))</f>
        <v/>
      </c>
    </row>
    <row r="5" spans="1:29" ht="18" customHeight="1" x14ac:dyDescent="0.25">
      <c r="A5" s="8">
        <v>2</v>
      </c>
      <c r="B5" s="38" t="s">
        <v>116</v>
      </c>
      <c r="C5" s="39" t="s">
        <v>151</v>
      </c>
      <c r="D5" s="9">
        <v>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1" t="str">
        <f t="shared" si="0"/>
        <v/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1" t="str">
        <f t="shared" si="1"/>
        <v/>
      </c>
      <c r="AA5" s="12">
        <v>1</v>
      </c>
      <c r="AB5" s="13" t="str">
        <f>IFERROR((IF(O5="",0,O5*Configuración!$B$4)+IF(Z5="",0,Z5*Configuración!$B$5))/(IF(O5="",0,Configuración!$B$4)+IF(Z5="",0,Configuración!$B$5)),"")</f>
        <v/>
      </c>
      <c r="AC5" s="14" t="str">
        <f>IF(AB5="","",IF(AB5&gt;=Configuración!$B$9,"APROBADO","REPROBADO"))</f>
        <v/>
      </c>
    </row>
    <row r="6" spans="1:29" ht="18" customHeight="1" x14ac:dyDescent="0.25">
      <c r="A6" s="8">
        <v>3</v>
      </c>
      <c r="B6" s="38" t="s">
        <v>117</v>
      </c>
      <c r="C6" s="39" t="s">
        <v>152</v>
      </c>
      <c r="D6" s="9">
        <v>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1" t="str">
        <f t="shared" si="0"/>
        <v/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1" t="str">
        <f t="shared" si="1"/>
        <v/>
      </c>
      <c r="AA6" s="12">
        <v>1</v>
      </c>
      <c r="AB6" s="13" t="str">
        <f>IFERROR((IF(O6="",0,O6*Configuración!$B$4)+IF(Z6="",0,Z6*Configuración!$B$5))/(IF(O6="",0,Configuración!$B$4)+IF(Z6="",0,Configuración!$B$5)),"")</f>
        <v/>
      </c>
      <c r="AC6" s="14" t="str">
        <f>IF(AB6="","",IF(AB6&gt;=Configuración!$B$9,"APROBADO","REPROBADO"))</f>
        <v/>
      </c>
    </row>
    <row r="7" spans="1:29" ht="18" customHeight="1" x14ac:dyDescent="0.25">
      <c r="A7" s="8">
        <v>4</v>
      </c>
      <c r="B7" s="38" t="s">
        <v>118</v>
      </c>
      <c r="C7" s="39" t="s">
        <v>153</v>
      </c>
      <c r="D7" s="9">
        <v>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1" t="str">
        <f t="shared" si="0"/>
        <v/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1" t="str">
        <f t="shared" si="1"/>
        <v/>
      </c>
      <c r="AA7" s="12">
        <v>1</v>
      </c>
      <c r="AB7" s="13" t="str">
        <f>IFERROR((IF(O7="",0,O7*Configuración!$B$4)+IF(Z7="",0,Z7*Configuración!$B$5))/(IF(O7="",0,Configuración!$B$4)+IF(Z7="",0,Configuración!$B$5)),"")</f>
        <v/>
      </c>
      <c r="AC7" s="14" t="str">
        <f>IF(AB7="","",IF(AB7&gt;=Configuración!$B$9,"APROBADO","REPROBADO"))</f>
        <v/>
      </c>
    </row>
    <row r="8" spans="1:29" ht="18" customHeight="1" x14ac:dyDescent="0.25">
      <c r="A8" s="8">
        <v>5</v>
      </c>
      <c r="B8" s="38" t="s">
        <v>119</v>
      </c>
      <c r="C8" s="39" t="s">
        <v>154</v>
      </c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1" t="str">
        <f t="shared" si="0"/>
        <v/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1" t="str">
        <f t="shared" si="1"/>
        <v/>
      </c>
      <c r="AA8" s="12">
        <v>1</v>
      </c>
      <c r="AB8" s="13" t="str">
        <f>IFERROR((IF(O8="",0,O8*Configuración!$B$4)+IF(Z8="",0,Z8*Configuración!$B$5))/(IF(O8="",0,Configuración!$B$4)+IF(Z8="",0,Configuración!$B$5)),"")</f>
        <v/>
      </c>
      <c r="AC8" s="14" t="str">
        <f>IF(AB8="","",IF(AB8&gt;=Configuración!$B$9,"APROBADO","REPROBADO"))</f>
        <v/>
      </c>
    </row>
    <row r="9" spans="1:29" ht="18" customHeight="1" x14ac:dyDescent="0.25">
      <c r="A9" s="8">
        <v>6</v>
      </c>
      <c r="B9" s="38" t="s">
        <v>120</v>
      </c>
      <c r="C9" s="39" t="s">
        <v>155</v>
      </c>
      <c r="D9" s="9">
        <v>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1" t="str">
        <f t="shared" si="0"/>
        <v/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1" t="str">
        <f t="shared" si="1"/>
        <v/>
      </c>
      <c r="AA9" s="12">
        <v>1</v>
      </c>
      <c r="AB9" s="13" t="str">
        <f>IFERROR((IF(O9="",0,O9*Configuración!$B$4)+IF(Z9="",0,Z9*Configuración!$B$5))/(IF(O9="",0,Configuración!$B$4)+IF(Z9="",0,Configuración!$B$5)),"")</f>
        <v/>
      </c>
      <c r="AC9" s="14" t="str">
        <f>IF(AB9="","",IF(AB9&gt;=Configuración!$B$9,"APROBADO","REPROBADO"))</f>
        <v/>
      </c>
    </row>
    <row r="10" spans="1:29" ht="18" customHeight="1" x14ac:dyDescent="0.25">
      <c r="A10" s="8">
        <v>7</v>
      </c>
      <c r="B10" s="38" t="s">
        <v>121</v>
      </c>
      <c r="C10" s="39" t="s">
        <v>156</v>
      </c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 t="str">
        <f t="shared" si="0"/>
        <v/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 t="str">
        <f t="shared" si="1"/>
        <v/>
      </c>
      <c r="AA10" s="12">
        <v>1</v>
      </c>
      <c r="AB10" s="13" t="str">
        <f>IFERROR((IF(O10="",0,O10*Configuración!$B$4)+IF(Z10="",0,Z10*Configuración!$B$5))/(IF(O10="",0,Configuración!$B$4)+IF(Z10="",0,Configuración!$B$5)),"")</f>
        <v/>
      </c>
      <c r="AC10" s="14" t="str">
        <f>IF(AB10="","",IF(AB10&gt;=Configuración!$B$9,"APROBADO","REPROBADO"))</f>
        <v/>
      </c>
    </row>
    <row r="11" spans="1:29" ht="18" customHeight="1" x14ac:dyDescent="0.25">
      <c r="A11" s="8">
        <v>8</v>
      </c>
      <c r="B11" s="38" t="s">
        <v>122</v>
      </c>
      <c r="C11" s="39" t="s">
        <v>157</v>
      </c>
      <c r="D11" s="9">
        <v>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 t="str">
        <f t="shared" si="0"/>
        <v/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 t="str">
        <f t="shared" si="1"/>
        <v/>
      </c>
      <c r="AA11" s="12">
        <v>1</v>
      </c>
      <c r="AB11" s="13" t="str">
        <f>IFERROR((IF(O11="",0,O11*Configuración!$B$4)+IF(Z11="",0,Z11*Configuración!$B$5))/(IF(O11="",0,Configuración!$B$4)+IF(Z11="",0,Configuración!$B$5)),"")</f>
        <v/>
      </c>
      <c r="AC11" s="14" t="str">
        <f>IF(AB11="","",IF(AB11&gt;=Configuración!$B$9,"APROBADO","REPROBADO"))</f>
        <v/>
      </c>
    </row>
    <row r="12" spans="1:29" ht="18" customHeight="1" x14ac:dyDescent="0.25">
      <c r="A12" s="8">
        <v>9</v>
      </c>
      <c r="B12" s="38" t="s">
        <v>123</v>
      </c>
      <c r="C12" s="39" t="s">
        <v>158</v>
      </c>
      <c r="D12" s="9">
        <v>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 t="str">
        <f t="shared" si="0"/>
        <v/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 t="str">
        <f t="shared" si="1"/>
        <v/>
      </c>
      <c r="AA12" s="12">
        <v>1</v>
      </c>
      <c r="AB12" s="13" t="str">
        <f>IFERROR((IF(O12="",0,O12*Configuración!$B$4)+IF(Z12="",0,Z12*Configuración!$B$5))/(IF(O12="",0,Configuración!$B$4)+IF(Z12="",0,Configuración!$B$5)),"")</f>
        <v/>
      </c>
      <c r="AC12" s="14" t="str">
        <f>IF(AB12="","",IF(AB12&gt;=Configuración!$B$9,"APROBADO","REPROBADO"))</f>
        <v/>
      </c>
    </row>
    <row r="13" spans="1:29" ht="18" customHeight="1" x14ac:dyDescent="0.25">
      <c r="A13" s="8">
        <v>10</v>
      </c>
      <c r="B13" s="38" t="s">
        <v>124</v>
      </c>
      <c r="C13" s="39" t="s">
        <v>159</v>
      </c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 t="str">
        <f t="shared" si="0"/>
        <v/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 t="str">
        <f t="shared" si="1"/>
        <v/>
      </c>
      <c r="AA13" s="12">
        <v>1</v>
      </c>
      <c r="AB13" s="13" t="str">
        <f>IFERROR((IF(O13="",0,O13*Configuración!$B$4)+IF(Z13="",0,Z13*Configuración!$B$5))/(IF(O13="",0,Configuración!$B$4)+IF(Z13="",0,Configuración!$B$5)),"")</f>
        <v/>
      </c>
      <c r="AC13" s="14" t="str">
        <f>IF(AB13="","",IF(AB13&gt;=Configuración!$B$9,"APROBADO","REPROBADO"))</f>
        <v/>
      </c>
    </row>
    <row r="14" spans="1:29" ht="18" customHeight="1" x14ac:dyDescent="0.25">
      <c r="A14" s="8">
        <v>11</v>
      </c>
      <c r="B14" s="38" t="s">
        <v>125</v>
      </c>
      <c r="C14" s="39" t="s">
        <v>160</v>
      </c>
      <c r="D14" s="9">
        <v>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 t="str">
        <f t="shared" si="0"/>
        <v/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 t="str">
        <f t="shared" si="1"/>
        <v/>
      </c>
      <c r="AA14" s="12">
        <v>1</v>
      </c>
      <c r="AB14" s="13" t="str">
        <f>IFERROR((IF(O14="",0,O14*Configuración!$B$4)+IF(Z14="",0,Z14*Configuración!$B$5))/(IF(O14="",0,Configuración!$B$4)+IF(Z14="",0,Configuración!$B$5)),"")</f>
        <v/>
      </c>
      <c r="AC14" s="14" t="str">
        <f>IF(AB14="","",IF(AB14&gt;=Configuración!$B$9,"APROBADO","REPROBADO"))</f>
        <v/>
      </c>
    </row>
    <row r="15" spans="1:29" ht="18" customHeight="1" x14ac:dyDescent="0.25">
      <c r="A15" s="8">
        <v>12</v>
      </c>
      <c r="B15" s="38" t="s">
        <v>126</v>
      </c>
      <c r="C15" s="39" t="s">
        <v>161</v>
      </c>
      <c r="D15" s="9">
        <v>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 t="str">
        <f t="shared" si="0"/>
        <v/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 t="str">
        <f t="shared" si="1"/>
        <v/>
      </c>
      <c r="AA15" s="12">
        <v>1</v>
      </c>
      <c r="AB15" s="13" t="str">
        <f>IFERROR((IF(O15="",0,O15*Configuración!$B$4)+IF(Z15="",0,Z15*Configuración!$B$5))/(IF(O15="",0,Configuración!$B$4)+IF(Z15="",0,Configuración!$B$5)),"")</f>
        <v/>
      </c>
      <c r="AC15" s="14" t="str">
        <f>IF(AB15="","",IF(AB15&gt;=Configuración!$B$9,"APROBADO","REPROBADO"))</f>
        <v/>
      </c>
    </row>
    <row r="16" spans="1:29" ht="18" customHeight="1" x14ac:dyDescent="0.25">
      <c r="A16" s="8">
        <v>13</v>
      </c>
      <c r="B16" s="38" t="s">
        <v>127</v>
      </c>
      <c r="C16" s="39" t="s">
        <v>162</v>
      </c>
      <c r="D16" s="9">
        <v>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 t="str">
        <f t="shared" si="0"/>
        <v/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 t="str">
        <f t="shared" si="1"/>
        <v/>
      </c>
      <c r="AA16" s="12">
        <v>1</v>
      </c>
      <c r="AB16" s="13" t="str">
        <f>IFERROR((IF(O16="",0,O16*Configuración!$B$4)+IF(Z16="",0,Z16*Configuración!$B$5))/(IF(O16="",0,Configuración!$B$4)+IF(Z16="",0,Configuración!$B$5)),"")</f>
        <v/>
      </c>
      <c r="AC16" s="14" t="str">
        <f>IF(AB16="","",IF(AB16&gt;=Configuración!$B$9,"APROBADO","REPROBADO"))</f>
        <v/>
      </c>
    </row>
    <row r="17" spans="1:29" ht="18" customHeight="1" x14ac:dyDescent="0.25">
      <c r="A17" s="8">
        <v>14</v>
      </c>
      <c r="B17" s="38" t="s">
        <v>128</v>
      </c>
      <c r="C17" s="39" t="s">
        <v>163</v>
      </c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 t="str">
        <f t="shared" si="0"/>
        <v/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 t="str">
        <f t="shared" si="1"/>
        <v/>
      </c>
      <c r="AA17" s="12">
        <v>1</v>
      </c>
      <c r="AB17" s="13" t="str">
        <f>IFERROR((IF(O17="",0,O17*Configuración!$B$4)+IF(Z17="",0,Z17*Configuración!$B$5))/(IF(O17="",0,Configuración!$B$4)+IF(Z17="",0,Configuración!$B$5)),"")</f>
        <v/>
      </c>
      <c r="AC17" s="14" t="str">
        <f>IF(AB17="","",IF(AB17&gt;=Configuración!$B$9,"APROBADO","REPROBADO"))</f>
        <v/>
      </c>
    </row>
    <row r="18" spans="1:29" ht="18" customHeight="1" x14ac:dyDescent="0.25">
      <c r="A18" s="8">
        <v>15</v>
      </c>
      <c r="B18" s="38" t="s">
        <v>129</v>
      </c>
      <c r="C18" s="39" t="s">
        <v>164</v>
      </c>
      <c r="D18" s="9">
        <v>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 t="str">
        <f t="shared" si="0"/>
        <v/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 t="str">
        <f t="shared" si="1"/>
        <v/>
      </c>
      <c r="AA18" s="12">
        <v>1</v>
      </c>
      <c r="AB18" s="13" t="str">
        <f>IFERROR((IF(O18="",0,O18*Configuración!$B$4)+IF(Z18="",0,Z18*Configuración!$B$5))/(IF(O18="",0,Configuración!$B$4)+IF(Z18="",0,Configuración!$B$5)),"")</f>
        <v/>
      </c>
      <c r="AC18" s="14" t="str">
        <f>IF(AB18="","",IF(AB18&gt;=Configuración!$B$9,"APROBADO","REPROBADO"))</f>
        <v/>
      </c>
    </row>
    <row r="19" spans="1:29" ht="18" customHeight="1" x14ac:dyDescent="0.25">
      <c r="A19" s="8">
        <v>16</v>
      </c>
      <c r="B19" s="38" t="s">
        <v>130</v>
      </c>
      <c r="C19" s="39" t="s">
        <v>165</v>
      </c>
      <c r="D19" s="9">
        <v>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 t="str">
        <f t="shared" si="0"/>
        <v/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 t="str">
        <f t="shared" si="1"/>
        <v/>
      </c>
      <c r="AA19" s="12">
        <v>1</v>
      </c>
      <c r="AB19" s="13" t="str">
        <f>IFERROR((IF(O19="",0,O19*Configuración!$B$4)+IF(Z19="",0,Z19*Configuración!$B$5))/(IF(O19="",0,Configuración!$B$4)+IF(Z19="",0,Configuración!$B$5)),"")</f>
        <v/>
      </c>
      <c r="AC19" s="14" t="str">
        <f>IF(AB19="","",IF(AB19&gt;=Configuración!$B$9,"APROBADO","REPROBADO"))</f>
        <v/>
      </c>
    </row>
    <row r="20" spans="1:29" ht="18" customHeight="1" x14ac:dyDescent="0.25">
      <c r="A20" s="8">
        <v>17</v>
      </c>
      <c r="B20" s="38" t="s">
        <v>131</v>
      </c>
      <c r="C20" s="39" t="s">
        <v>166</v>
      </c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 t="str">
        <f t="shared" si="0"/>
        <v/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 t="str">
        <f t="shared" si="1"/>
        <v/>
      </c>
      <c r="AA20" s="12">
        <v>1</v>
      </c>
      <c r="AB20" s="13" t="str">
        <f>IFERROR((IF(O20="",0,O20*Configuración!$B$4)+IF(Z20="",0,Z20*Configuración!$B$5))/(IF(O20="",0,Configuración!$B$4)+IF(Z20="",0,Configuración!$B$5)),"")</f>
        <v/>
      </c>
      <c r="AC20" s="14" t="str">
        <f>IF(AB20="","",IF(AB20&gt;=Configuración!$B$9,"APROBADO","REPROBADO"))</f>
        <v/>
      </c>
    </row>
    <row r="21" spans="1:29" ht="18" customHeight="1" x14ac:dyDescent="0.25">
      <c r="A21" s="8">
        <v>18</v>
      </c>
      <c r="B21" s="38" t="s">
        <v>132</v>
      </c>
      <c r="C21" s="39" t="s">
        <v>167</v>
      </c>
      <c r="D21" s="9">
        <v>3</v>
      </c>
      <c r="E21" s="10"/>
      <c r="F21" s="10"/>
      <c r="G21" s="10"/>
      <c r="H21" s="10"/>
      <c r="I21" s="10"/>
      <c r="J21" s="10"/>
      <c r="K21" s="10"/>
      <c r="L21" s="10"/>
      <c r="M21" s="10"/>
      <c r="N21" s="40"/>
      <c r="O21" s="11" t="str">
        <f t="shared" si="0"/>
        <v/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 t="str">
        <f t="shared" si="1"/>
        <v/>
      </c>
      <c r="AA21" s="12">
        <v>1</v>
      </c>
      <c r="AB21" s="13" t="str">
        <f>IFERROR((IF(O21="",0,O21*Configuración!$B$4)+IF(Z21="",0,Z21*Configuración!$B$5))/(IF(O21="",0,Configuración!$B$4)+IF(Z21="",0,Configuración!$B$5)),"")</f>
        <v/>
      </c>
      <c r="AC21" s="14" t="str">
        <f>IF(AB21="","",IF(AB21&gt;=Configuración!$B$9,"APROBADO","REPROBADO"))</f>
        <v/>
      </c>
    </row>
    <row r="22" spans="1:29" ht="18" customHeight="1" x14ac:dyDescent="0.25">
      <c r="A22" s="8">
        <v>19</v>
      </c>
      <c r="B22" s="38" t="s">
        <v>133</v>
      </c>
      <c r="C22" s="39" t="s">
        <v>168</v>
      </c>
      <c r="D22" s="9">
        <v>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 t="str">
        <f t="shared" si="0"/>
        <v/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 t="str">
        <f t="shared" si="1"/>
        <v/>
      </c>
      <c r="AA22" s="12">
        <v>1</v>
      </c>
      <c r="AB22" s="13" t="str">
        <f>IFERROR((IF(O22="",0,O22*Configuración!$B$4)+IF(Z22="",0,Z22*Configuración!$B$5))/(IF(O22="",0,Configuración!$B$4)+IF(Z22="",0,Configuración!$B$5)),"")</f>
        <v/>
      </c>
      <c r="AC22" s="14" t="str">
        <f>IF(AB22="","",IF(AB22&gt;=Configuración!$B$9,"APROBADO","REPROBADO"))</f>
        <v/>
      </c>
    </row>
    <row r="23" spans="1:29" ht="18" customHeight="1" x14ac:dyDescent="0.25">
      <c r="A23" s="8">
        <v>20</v>
      </c>
      <c r="B23" s="38" t="s">
        <v>134</v>
      </c>
      <c r="C23" s="39" t="s">
        <v>169</v>
      </c>
      <c r="D23" s="9">
        <v>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 t="str">
        <f t="shared" si="0"/>
        <v/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 t="str">
        <f t="shared" si="1"/>
        <v/>
      </c>
      <c r="AA23" s="12">
        <v>1</v>
      </c>
      <c r="AB23" s="13" t="str">
        <f>IFERROR((IF(O23="",0,O23*Configuración!$B$4)+IF(Z23="",0,Z23*Configuración!$B$5))/(IF(O23="",0,Configuración!$B$4)+IF(Z23="",0,Configuración!$B$5)),"")</f>
        <v/>
      </c>
      <c r="AC23" s="14" t="str">
        <f>IF(AB23="","",IF(AB23&gt;=Configuración!$B$9,"APROBADO","REPROBADO"))</f>
        <v/>
      </c>
    </row>
    <row r="24" spans="1:29" ht="18" customHeight="1" x14ac:dyDescent="0.25">
      <c r="A24" s="8">
        <v>21</v>
      </c>
      <c r="B24" s="38" t="s">
        <v>135</v>
      </c>
      <c r="C24" s="39" t="s">
        <v>170</v>
      </c>
      <c r="D24" s="9">
        <v>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 t="str">
        <f t="shared" si="0"/>
        <v/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 t="str">
        <f t="shared" si="1"/>
        <v/>
      </c>
      <c r="AA24" s="12">
        <v>1</v>
      </c>
      <c r="AB24" s="13" t="str">
        <f>IFERROR((IF(O24="",0,O24*Configuración!$B$4)+IF(Z24="",0,Z24*Configuración!$B$5))/(IF(O24="",0,Configuración!$B$4)+IF(Z24="",0,Configuración!$B$5)),"")</f>
        <v/>
      </c>
      <c r="AC24" s="14" t="str">
        <f>IF(AB24="","",IF(AB24&gt;=Configuración!$B$9,"APROBADO","REPROBADO"))</f>
        <v/>
      </c>
    </row>
    <row r="25" spans="1:29" ht="18" customHeight="1" x14ac:dyDescent="0.25">
      <c r="A25" s="8">
        <v>22</v>
      </c>
      <c r="B25" s="38" t="s">
        <v>136</v>
      </c>
      <c r="C25" s="39" t="s">
        <v>171</v>
      </c>
      <c r="D25" s="9">
        <v>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 t="str">
        <f t="shared" si="0"/>
        <v/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 t="str">
        <f t="shared" si="1"/>
        <v/>
      </c>
      <c r="AA25" s="12">
        <v>1</v>
      </c>
      <c r="AB25" s="13" t="str">
        <f>IFERROR((IF(O25="",0,O25*Configuración!$B$4)+IF(Z25="",0,Z25*Configuración!$B$5))/(IF(O25="",0,Configuración!$B$4)+IF(Z25="",0,Configuración!$B$5)),"")</f>
        <v/>
      </c>
      <c r="AC25" s="14" t="str">
        <f>IF(AB25="","",IF(AB25&gt;=Configuración!$B$9,"APROBADO","REPROBADO"))</f>
        <v/>
      </c>
    </row>
    <row r="26" spans="1:29" ht="18" customHeight="1" x14ac:dyDescent="0.25">
      <c r="A26" s="8">
        <v>23</v>
      </c>
      <c r="B26" s="38" t="s">
        <v>137</v>
      </c>
      <c r="C26" s="39" t="s">
        <v>172</v>
      </c>
      <c r="D26" s="9">
        <v>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 t="str">
        <f t="shared" si="0"/>
        <v/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 t="str">
        <f t="shared" si="1"/>
        <v/>
      </c>
      <c r="AA26" s="12">
        <v>1</v>
      </c>
      <c r="AB26" s="13" t="str">
        <f>IFERROR((IF(O26="",0,O26*Configuración!$B$4)+IF(Z26="",0,Z26*Configuración!$B$5))/(IF(O26="",0,Configuración!$B$4)+IF(Z26="",0,Configuración!$B$5)),"")</f>
        <v/>
      </c>
      <c r="AC26" s="14" t="str">
        <f>IF(AB26="","",IF(AB26&gt;=Configuración!$B$9,"APROBADO","REPROBADO"))</f>
        <v/>
      </c>
    </row>
    <row r="27" spans="1:29" ht="18" customHeight="1" x14ac:dyDescent="0.25">
      <c r="A27" s="8">
        <v>24</v>
      </c>
      <c r="B27" s="38" t="s">
        <v>138</v>
      </c>
      <c r="C27" s="39" t="s">
        <v>173</v>
      </c>
      <c r="D27" s="9">
        <v>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 t="str">
        <f t="shared" si="0"/>
        <v/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 t="str">
        <f t="shared" si="1"/>
        <v/>
      </c>
      <c r="AA27" s="12">
        <v>1</v>
      </c>
      <c r="AB27" s="13" t="str">
        <f>IFERROR((IF(O27="",0,O27*Configuración!$B$4)+IF(Z27="",0,Z27*Configuración!$B$5))/(IF(O27="",0,Configuración!$B$4)+IF(Z27="",0,Configuración!$B$5)),"")</f>
        <v/>
      </c>
      <c r="AC27" s="14" t="str">
        <f>IF(AB27="","",IF(AB27&gt;=Configuración!$B$9,"APROBADO","REPROBADO"))</f>
        <v/>
      </c>
    </row>
    <row r="28" spans="1:29" ht="18" customHeight="1" x14ac:dyDescent="0.25">
      <c r="A28" s="8">
        <v>25</v>
      </c>
      <c r="B28" s="38" t="s">
        <v>139</v>
      </c>
      <c r="C28" s="39" t="s">
        <v>174</v>
      </c>
      <c r="D28" s="9">
        <v>7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 t="str">
        <f t="shared" si="0"/>
        <v/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 t="str">
        <f t="shared" si="1"/>
        <v/>
      </c>
      <c r="AA28" s="12">
        <v>1</v>
      </c>
      <c r="AB28" s="13" t="str">
        <f>IFERROR((IF(O28="",0,O28*Configuración!$B$4)+IF(Z28="",0,Z28*Configuración!$B$5))/(IF(O28="",0,Configuración!$B$4)+IF(Z28="",0,Configuración!$B$5)),"")</f>
        <v/>
      </c>
      <c r="AC28" s="14" t="str">
        <f>IF(AB28="","",IF(AB28&gt;=Configuración!$B$9,"APROBADO","REPROBADO"))</f>
        <v/>
      </c>
    </row>
    <row r="29" spans="1:29" ht="18" customHeight="1" x14ac:dyDescent="0.25">
      <c r="A29" s="8">
        <v>26</v>
      </c>
      <c r="B29" s="38" t="s">
        <v>140</v>
      </c>
      <c r="C29" s="39" t="s">
        <v>175</v>
      </c>
      <c r="D29" s="9">
        <v>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 t="str">
        <f t="shared" si="0"/>
        <v/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 t="str">
        <f t="shared" si="1"/>
        <v/>
      </c>
      <c r="AA29" s="12">
        <v>1</v>
      </c>
      <c r="AB29" s="13" t="str">
        <f>IFERROR((IF(O29="",0,O29*Configuración!$B$4)+IF(Z29="",0,Z29*Configuración!$B$5))/(IF(O29="",0,Configuración!$B$4)+IF(Z29="",0,Configuración!$B$5)),"")</f>
        <v/>
      </c>
      <c r="AC29" s="14" t="str">
        <f>IF(AB29="","",IF(AB29&gt;=Configuración!$B$9,"APROBADO","REPROBADO"))</f>
        <v/>
      </c>
    </row>
    <row r="30" spans="1:29" ht="18" customHeight="1" x14ac:dyDescent="0.25">
      <c r="A30" s="8">
        <v>27</v>
      </c>
      <c r="B30" s="38" t="s">
        <v>141</v>
      </c>
      <c r="C30" s="39" t="s">
        <v>176</v>
      </c>
      <c r="D30" s="9">
        <v>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 t="str">
        <f t="shared" si="0"/>
        <v/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 t="str">
        <f t="shared" si="1"/>
        <v/>
      </c>
      <c r="AA30" s="12">
        <v>1</v>
      </c>
      <c r="AB30" s="13" t="str">
        <f>IFERROR((IF(O30="",0,O30*Configuración!$B$4)+IF(Z30="",0,Z30*Configuración!$B$5))/(IF(O30="",0,Configuración!$B$4)+IF(Z30="",0,Configuración!$B$5)),"")</f>
        <v/>
      </c>
      <c r="AC30" s="14" t="str">
        <f>IF(AB30="","",IF(AB30&gt;=Configuración!$B$9,"APROBADO","REPROBADO"))</f>
        <v/>
      </c>
    </row>
    <row r="31" spans="1:29" ht="18" customHeight="1" x14ac:dyDescent="0.25">
      <c r="A31" s="8">
        <v>28</v>
      </c>
      <c r="B31" s="38" t="s">
        <v>142</v>
      </c>
      <c r="C31" s="39" t="s">
        <v>177</v>
      </c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 t="str">
        <f t="shared" si="0"/>
        <v/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 t="str">
        <f t="shared" si="1"/>
        <v/>
      </c>
      <c r="AA31" s="12">
        <v>1</v>
      </c>
      <c r="AB31" s="13" t="str">
        <f>IFERROR((IF(O31="",0,O31*Configuración!$B$4)+IF(Z31="",0,Z31*Configuración!$B$5))/(IF(O31="",0,Configuración!$B$4)+IF(Z31="",0,Configuración!$B$5)),"")</f>
        <v/>
      </c>
      <c r="AC31" s="14" t="str">
        <f>IF(AB31="","",IF(AB31&gt;=Configuración!$B$9,"APROBADO","REPROBADO"))</f>
        <v/>
      </c>
    </row>
    <row r="32" spans="1:29" ht="18" customHeight="1" x14ac:dyDescent="0.25">
      <c r="A32" s="8">
        <v>29</v>
      </c>
      <c r="B32" s="38" t="s">
        <v>143</v>
      </c>
      <c r="C32" s="39" t="s">
        <v>178</v>
      </c>
      <c r="D32" s="9">
        <v>8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 t="str">
        <f t="shared" si="0"/>
        <v/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 t="str">
        <f t="shared" si="1"/>
        <v/>
      </c>
      <c r="AA32" s="12">
        <v>1</v>
      </c>
      <c r="AB32" s="13" t="str">
        <f>IFERROR((IF(O32="",0,O32*Configuración!$B$4)+IF(Z32="",0,Z32*Configuración!$B$5))/(IF(O32="",0,Configuración!$B$4)+IF(Z32="",0,Configuración!$B$5)),"")</f>
        <v/>
      </c>
      <c r="AC32" s="14" t="str">
        <f>IF(AB32="","",IF(AB32&gt;=Configuración!$B$9,"APROBADO","REPROBADO"))</f>
        <v/>
      </c>
    </row>
    <row r="33" spans="1:29" ht="18" customHeight="1" x14ac:dyDescent="0.25">
      <c r="A33" s="8">
        <v>30</v>
      </c>
      <c r="B33" s="38" t="s">
        <v>144</v>
      </c>
      <c r="C33" s="39" t="s">
        <v>179</v>
      </c>
      <c r="D33" s="9">
        <v>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 t="str">
        <f t="shared" si="0"/>
        <v/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 t="str">
        <f t="shared" si="1"/>
        <v/>
      </c>
      <c r="AA33" s="12">
        <v>1</v>
      </c>
      <c r="AB33" s="13" t="str">
        <f>IFERROR((IF(O33="",0,O33*Configuración!$B$4)+IF(Z33="",0,Z33*Configuración!$B$5))/(IF(O33="",0,Configuración!$B$4)+IF(Z33="",0,Configuración!$B$5)),"")</f>
        <v/>
      </c>
      <c r="AC33" s="14" t="str">
        <f>IF(AB33="","",IF(AB33&gt;=Configuración!$B$9,"APROBADO","REPROBADO"))</f>
        <v/>
      </c>
    </row>
    <row r="34" spans="1:29" ht="18" customHeight="1" x14ac:dyDescent="0.25">
      <c r="A34" s="37">
        <v>31</v>
      </c>
      <c r="B34" s="38" t="s">
        <v>145</v>
      </c>
      <c r="C34" s="39" t="s">
        <v>180</v>
      </c>
      <c r="D34" s="9">
        <v>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 t="str">
        <f t="shared" si="0"/>
        <v/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 t="str">
        <f t="shared" si="1"/>
        <v/>
      </c>
      <c r="AA34" s="12">
        <v>1</v>
      </c>
      <c r="AB34" s="13" t="str">
        <f>IFERROR((IF(O34="",0,O34*Configuración!$B$4)+IF(Z34="",0,Z34*Configuración!$B$5))/(IF(O34="",0,Configuración!$B$4)+IF(Z34="",0,Configuración!$B$5)),"")</f>
        <v/>
      </c>
      <c r="AC34" s="14" t="str">
        <f>IF(AB34="","",IF(AB34&gt;=Configuración!$B$9,"APROBADO","REPROBADO"))</f>
        <v/>
      </c>
    </row>
    <row r="35" spans="1:29" ht="18" customHeight="1" x14ac:dyDescent="0.25">
      <c r="A35" s="37">
        <v>32</v>
      </c>
      <c r="B35" s="38" t="s">
        <v>146</v>
      </c>
      <c r="C35" s="39" t="s">
        <v>181</v>
      </c>
      <c r="D35" s="9">
        <v>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 t="str">
        <f t="shared" ref="O35:O38" si="2">IFERROR(AVERAGE(E35:N35),"")</f>
        <v/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 t="str">
        <f t="shared" ref="Z35:Z38" si="3">IFERROR(AVERAGE(P35:Y35),"")</f>
        <v/>
      </c>
      <c r="AA35" s="12">
        <v>1</v>
      </c>
      <c r="AB35" s="13" t="str">
        <f>IFERROR((IF(O35="",0,O35*Configuración!$B$4)+IF(Z35="",0,Z35*Configuración!$B$5))/(IF(O35="",0,Configuración!$B$4)+IF(Z35="",0,Configuración!$B$5)),"")</f>
        <v/>
      </c>
      <c r="AC35" s="14" t="str">
        <f>IF(AB35="","",IF(AB35&gt;=Configuración!$B$9,"APROBADO","REPROBADO"))</f>
        <v/>
      </c>
    </row>
    <row r="36" spans="1:29" x14ac:dyDescent="0.25">
      <c r="A36" s="37">
        <v>33</v>
      </c>
      <c r="B36" s="38" t="s">
        <v>147</v>
      </c>
      <c r="C36" s="39" t="s">
        <v>182</v>
      </c>
      <c r="D36" s="9">
        <v>2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 t="str">
        <f t="shared" si="2"/>
        <v/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 t="str">
        <f t="shared" si="3"/>
        <v/>
      </c>
      <c r="AA36" s="12">
        <v>1</v>
      </c>
      <c r="AB36" s="13" t="str">
        <f>IFERROR((IF(O36="",0,O36*Configuración!$B$4)+IF(Z36="",0,Z36*Configuración!$B$5))/(IF(O36="",0,Configuración!$B$4)+IF(Z36="",0,Configuración!$B$5)),"")</f>
        <v/>
      </c>
      <c r="AC36" s="14" t="str">
        <f>IF(AB36="","",IF(AB36&gt;=Configuración!$B$9,"APROBADO","REPROBADO"))</f>
        <v/>
      </c>
    </row>
    <row r="37" spans="1:29" x14ac:dyDescent="0.25">
      <c r="A37" s="37">
        <v>34</v>
      </c>
      <c r="B37" s="38" t="s">
        <v>148</v>
      </c>
      <c r="C37" s="39" t="s">
        <v>183</v>
      </c>
      <c r="D37" s="9">
        <v>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 t="str">
        <f t="shared" si="2"/>
        <v/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 t="str">
        <f t="shared" si="3"/>
        <v/>
      </c>
      <c r="AA37" s="12">
        <v>1</v>
      </c>
      <c r="AB37" s="13" t="str">
        <f>IFERROR((IF(O37="",0,O37*Configuración!$B$4)+IF(Z37="",0,Z37*Configuración!$B$5))/(IF(O37="",0,Configuración!$B$4)+IF(Z37="",0,Configuración!$B$5)),"")</f>
        <v/>
      </c>
      <c r="AC37" s="14" t="str">
        <f>IF(AB37="","",IF(AB37&gt;=Configuración!$B$9,"APROBADO","REPROBADO"))</f>
        <v/>
      </c>
    </row>
    <row r="38" spans="1:29" x14ac:dyDescent="0.25">
      <c r="A38" s="37">
        <v>35</v>
      </c>
      <c r="B38" s="38" t="s">
        <v>149</v>
      </c>
      <c r="C38" s="39" t="s">
        <v>184</v>
      </c>
      <c r="D38" s="9">
        <v>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 t="str">
        <f t="shared" si="2"/>
        <v/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 t="str">
        <f t="shared" si="3"/>
        <v/>
      </c>
      <c r="AA38" s="12">
        <v>1</v>
      </c>
      <c r="AB38" s="13" t="str">
        <f>IFERROR((IF(O38="",0,O38*Configuración!$B$4)+IF(Z38="",0,Z38*Configuración!$B$5))/(IF(O38="",0,Configuración!$B$4)+IF(Z38="",0,Configuración!$B$5)),"")</f>
        <v/>
      </c>
      <c r="AC38" s="14" t="str">
        <f>IF(AB38="","",IF(AB38&gt;=Configuración!$B$9,"APROBADO","REPROBADO"))</f>
        <v/>
      </c>
    </row>
    <row r="39" spans="1:29" x14ac:dyDescent="0.25">
      <c r="A39" s="15"/>
      <c r="B39" s="16" t="s">
        <v>70</v>
      </c>
      <c r="C39" s="15"/>
      <c r="D39" s="15"/>
      <c r="E39" s="17" t="str">
        <f t="shared" ref="E39" si="4">IFERROR(AVERAGE(E8:E38),"")</f>
        <v/>
      </c>
      <c r="F39" s="17" t="str">
        <f t="shared" ref="F39" si="5">IFERROR(AVERAGE(F8:F38),"")</f>
        <v/>
      </c>
      <c r="G39" s="17" t="str">
        <f t="shared" ref="G39" si="6">IFERROR(AVERAGE(G8:G38),"")</f>
        <v/>
      </c>
      <c r="H39" s="17" t="str">
        <f t="shared" ref="H39" si="7">IFERROR(AVERAGE(H8:H38),"")</f>
        <v/>
      </c>
      <c r="I39" s="17" t="str">
        <f t="shared" ref="I39" si="8">IFERROR(AVERAGE(I8:I38),"")</f>
        <v/>
      </c>
      <c r="J39" s="17" t="str">
        <f t="shared" ref="J39" si="9">IFERROR(AVERAGE(J8:J38),"")</f>
        <v/>
      </c>
      <c r="K39" s="17" t="str">
        <f t="shared" ref="K39" si="10">IFERROR(AVERAGE(K8:K38),"")</f>
        <v/>
      </c>
      <c r="L39" s="17" t="str">
        <f t="shared" ref="L39" si="11">IFERROR(AVERAGE(L8:L38),"")</f>
        <v/>
      </c>
      <c r="M39" s="17" t="str">
        <f t="shared" ref="M39" si="12">IFERROR(AVERAGE(M8:M38),"")</f>
        <v/>
      </c>
      <c r="N39" s="17" t="str">
        <f t="shared" ref="N39" si="13">IFERROR(AVERAGE(N8:N38),"")</f>
        <v/>
      </c>
      <c r="O39" s="18" t="str">
        <f t="shared" ref="O39" si="14">IFERROR(AVERAGE(O8:O38),"")</f>
        <v/>
      </c>
      <c r="P39" s="17" t="str">
        <f t="shared" ref="P39" si="15">IFERROR(AVERAGE(P8:P38),"")</f>
        <v/>
      </c>
      <c r="Q39" s="17" t="str">
        <f t="shared" ref="Q39" si="16">IFERROR(AVERAGE(Q8:Q38),"")</f>
        <v/>
      </c>
      <c r="R39" s="17" t="str">
        <f t="shared" ref="R39" si="17">IFERROR(AVERAGE(R8:R38),"")</f>
        <v/>
      </c>
      <c r="S39" s="17" t="str">
        <f t="shared" ref="S39" si="18">IFERROR(AVERAGE(S8:S38),"")</f>
        <v/>
      </c>
      <c r="T39" s="17" t="str">
        <f t="shared" ref="T39" si="19">IFERROR(AVERAGE(T8:T38),"")</f>
        <v/>
      </c>
      <c r="U39" s="17" t="str">
        <f t="shared" ref="U39" si="20">IFERROR(AVERAGE(U8:U38),"")</f>
        <v/>
      </c>
      <c r="V39" s="17" t="str">
        <f t="shared" ref="V39" si="21">IFERROR(AVERAGE(V8:V38),"")</f>
        <v/>
      </c>
      <c r="W39" s="17" t="str">
        <f t="shared" ref="W39" si="22">IFERROR(AVERAGE(W8:W38),"")</f>
        <v/>
      </c>
      <c r="X39" s="17" t="str">
        <f t="shared" ref="X39" si="23">IFERROR(AVERAGE(X8:X38),"")</f>
        <v/>
      </c>
      <c r="Y39" s="17" t="str">
        <f t="shared" ref="Y39" si="24">IFERROR(AVERAGE(Y8:Y38),"")</f>
        <v/>
      </c>
      <c r="Z39" s="18" t="str">
        <f t="shared" ref="Z39" si="25">IFERROR(AVERAGE(Z8:Z38),"")</f>
        <v/>
      </c>
      <c r="AA39" s="19">
        <f t="shared" ref="AA39" si="26">IFERROR(AVERAGE(AA8:AA38),"")</f>
        <v>1</v>
      </c>
      <c r="AB39" s="20" t="str">
        <f t="shared" ref="AB39" si="27">IFERROR(AVERAGE(AB8:AB38),"")</f>
        <v/>
      </c>
      <c r="AC39" s="21" t="str">
        <f t="shared" ref="AC39" si="28">COUNTIF(AC8:AC38,"APROBADO")&amp;" aprob."</f>
        <v>0 aprob.</v>
      </c>
    </row>
  </sheetData>
  <mergeCells count="2">
    <mergeCell ref="A1:AC1"/>
    <mergeCell ref="A2:AC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workbookViewId="0"/>
  </sheetViews>
  <sheetFormatPr baseColWidth="10" defaultColWidth="8.7109375" defaultRowHeight="15" x14ac:dyDescent="0.25"/>
  <cols>
    <col min="1" max="1" width="24" customWidth="1"/>
    <col min="2" max="2" width="12" customWidth="1"/>
    <col min="3" max="3" width="3" customWidth="1"/>
    <col min="4" max="4" width="10" customWidth="1"/>
    <col min="5" max="6" width="12" customWidth="1"/>
  </cols>
  <sheetData>
    <row r="1" spans="1:6" ht="24" customHeight="1" x14ac:dyDescent="0.25">
      <c r="A1" s="43" t="s">
        <v>71</v>
      </c>
      <c r="B1" s="43"/>
      <c r="C1" s="43"/>
      <c r="D1" s="43"/>
      <c r="E1" s="43"/>
      <c r="F1" s="43"/>
    </row>
    <row r="3" spans="1:6" x14ac:dyDescent="0.25">
      <c r="A3" s="42" t="s">
        <v>72</v>
      </c>
      <c r="B3" s="42"/>
      <c r="D3" s="42" t="s">
        <v>73</v>
      </c>
      <c r="E3" s="42"/>
      <c r="F3" s="42"/>
    </row>
    <row r="4" spans="1:6" x14ac:dyDescent="0.25">
      <c r="A4" s="22" t="s">
        <v>74</v>
      </c>
      <c r="B4" s="23">
        <f>COUNTA(Notas!$B$4:$B$34)</f>
        <v>31</v>
      </c>
      <c r="D4" s="24" t="s">
        <v>20</v>
      </c>
      <c r="E4" s="24" t="s">
        <v>75</v>
      </c>
      <c r="F4" s="24" t="s">
        <v>76</v>
      </c>
    </row>
    <row r="5" spans="1:6" x14ac:dyDescent="0.25">
      <c r="A5" s="22" t="s">
        <v>77</v>
      </c>
      <c r="B5" s="23">
        <f>COUNT(Notas!$AB$4:$AB$34)</f>
        <v>0</v>
      </c>
      <c r="D5" s="25">
        <v>1</v>
      </c>
      <c r="E5" s="26">
        <f>COUNTIF(Notas!$D$4:$D$34,$D5)</f>
        <v>2</v>
      </c>
      <c r="F5" s="27" t="str">
        <f>IFERROR(AVERAGEIF(Notas!$D$4:$D$34,$D5,Notas!$AB$4:$AB$34),"")</f>
        <v/>
      </c>
    </row>
    <row r="6" spans="1:6" x14ac:dyDescent="0.25">
      <c r="A6" s="22" t="s">
        <v>78</v>
      </c>
      <c r="B6" s="28" t="str">
        <f>IFERROR(AVERAGE(Notas!$AB$4:$AB$34),"")</f>
        <v/>
      </c>
      <c r="D6" s="25">
        <v>2</v>
      </c>
      <c r="E6" s="26">
        <f>COUNTIF(Notas!$D$4:$D$34,$D6)</f>
        <v>3</v>
      </c>
      <c r="F6" s="27" t="str">
        <f>IFERROR(AVERAGEIF(Notas!$D$4:$D$34,$D6,Notas!$AB$4:$AB$34),"")</f>
        <v/>
      </c>
    </row>
    <row r="7" spans="1:6" x14ac:dyDescent="0.25">
      <c r="A7" s="22" t="s">
        <v>79</v>
      </c>
      <c r="B7" s="28">
        <f>IFERROR(MAX(Notas!$AB$4:$AB$34),"")</f>
        <v>0</v>
      </c>
      <c r="D7" s="25">
        <v>3</v>
      </c>
      <c r="E7" s="26">
        <f>COUNTIF(Notas!$D$4:$D$34,$D7)</f>
        <v>4</v>
      </c>
      <c r="F7" s="27" t="str">
        <f>IFERROR(AVERAGEIF(Notas!$D$4:$D$34,$D7,Notas!$AB$4:$AB$34),"")</f>
        <v/>
      </c>
    </row>
    <row r="8" spans="1:6" x14ac:dyDescent="0.25">
      <c r="A8" s="22" t="s">
        <v>80</v>
      </c>
      <c r="B8" s="28">
        <f>IFERROR(MIN(Notas!$AB$4:$AB$34),"")</f>
        <v>0</v>
      </c>
      <c r="D8" s="25">
        <v>4</v>
      </c>
      <c r="E8" s="26">
        <f>COUNTIF(Notas!$D$4:$D$34,$D8)</f>
        <v>4</v>
      </c>
      <c r="F8" s="27" t="str">
        <f>IFERROR(AVERAGEIF(Notas!$D$4:$D$34,$D8,Notas!$AB$4:$AB$34),"")</f>
        <v/>
      </c>
    </row>
    <row r="9" spans="1:6" x14ac:dyDescent="0.25">
      <c r="A9" s="22" t="s">
        <v>81</v>
      </c>
      <c r="B9" s="28" t="str">
        <f>IFERROR(STDEV(Notas!$AB$4:$AB$34),"")</f>
        <v/>
      </c>
      <c r="D9" s="25">
        <v>5</v>
      </c>
      <c r="E9" s="26">
        <f>COUNTIF(Notas!$D$4:$D$34,$D9)</f>
        <v>3</v>
      </c>
      <c r="F9" s="27" t="str">
        <f>IFERROR(AVERAGEIF(Notas!$D$4:$D$34,$D9,Notas!$AB$4:$AB$34),"")</f>
        <v/>
      </c>
    </row>
    <row r="10" spans="1:6" x14ac:dyDescent="0.25">
      <c r="A10" s="22" t="s">
        <v>82</v>
      </c>
      <c r="B10" s="23">
        <f>COUNTIF(Notas!$AC$4:$AC$34,"APROBADO")</f>
        <v>0</v>
      </c>
      <c r="D10" s="25">
        <v>6</v>
      </c>
      <c r="E10" s="26">
        <f>COUNTIF(Notas!$D$4:$D$34,$D10)</f>
        <v>2</v>
      </c>
      <c r="F10" s="27" t="str">
        <f>IFERROR(AVERAGEIF(Notas!$D$4:$D$34,$D10,Notas!$AB$4:$AB$34),"")</f>
        <v/>
      </c>
    </row>
    <row r="11" spans="1:6" x14ac:dyDescent="0.25">
      <c r="A11" s="22" t="s">
        <v>83</v>
      </c>
      <c r="B11" s="23">
        <f>COUNTIF(Notas!$AC$4:$AC$34,"REPROBADO")</f>
        <v>0</v>
      </c>
      <c r="D11" s="25">
        <v>7</v>
      </c>
      <c r="E11" s="26">
        <f>COUNTIF(Notas!$D$4:$D$34,$D11)</f>
        <v>3</v>
      </c>
      <c r="F11" s="27" t="str">
        <f>IFERROR(AVERAGEIF(Notas!$D$4:$D$34,$D11,Notas!$AB$4:$AB$34),"")</f>
        <v/>
      </c>
    </row>
    <row r="12" spans="1:6" x14ac:dyDescent="0.25">
      <c r="A12" s="22" t="s">
        <v>84</v>
      </c>
      <c r="B12" s="29">
        <f>IFERROR(AVERAGE(Notas!$AA$4:$AA$34),"")</f>
        <v>1</v>
      </c>
      <c r="D12" s="25">
        <v>8</v>
      </c>
      <c r="E12" s="26">
        <f>COUNTIF(Notas!$D$4:$D$34,$D12)</f>
        <v>4</v>
      </c>
      <c r="F12" s="27" t="str">
        <f>IFERROR(AVERAGEIF(Notas!$D$4:$D$34,$D12,Notas!$AB$4:$AB$34),"")</f>
        <v/>
      </c>
    </row>
    <row r="13" spans="1:6" x14ac:dyDescent="0.25">
      <c r="A13" s="22" t="s">
        <v>85</v>
      </c>
      <c r="B13" s="29" t="str">
        <f>IFERROR(COUNTIF(Notas!$AC$4:$AC$34,"APROBADO")/COUNT(Notas!$AB$4:$AB$34),"")</f>
        <v/>
      </c>
      <c r="D13" s="25">
        <v>9</v>
      </c>
      <c r="E13" s="26">
        <f>COUNTIF(Notas!$D$4:$D$34,$D13)</f>
        <v>0</v>
      </c>
      <c r="F13" s="27" t="str">
        <f>IFERROR(AVERAGEIF(Notas!$D$4:$D$34,$D13,Notas!$AB$4:$AB$34),"")</f>
        <v/>
      </c>
    </row>
    <row r="14" spans="1:6" x14ac:dyDescent="0.25">
      <c r="D14" s="25">
        <v>10</v>
      </c>
      <c r="E14" s="26">
        <f>COUNTIF(Notas!$D$4:$D$34,$D14)</f>
        <v>0</v>
      </c>
      <c r="F14" s="27" t="str">
        <f>IFERROR(AVERAGEIF(Notas!$D$4:$D$34,$D14,Notas!$AB$4:$AB$34),"")</f>
        <v/>
      </c>
    </row>
    <row r="16" spans="1:6" x14ac:dyDescent="0.25">
      <c r="A16" s="42" t="s">
        <v>86</v>
      </c>
      <c r="B16" s="42"/>
      <c r="D16" s="42" t="s">
        <v>87</v>
      </c>
      <c r="E16" s="42"/>
      <c r="F16" s="42"/>
    </row>
    <row r="17" spans="1:5" x14ac:dyDescent="0.25">
      <c r="A17" s="22" t="s">
        <v>88</v>
      </c>
      <c r="B17" s="28" t="str">
        <f>IFERROR(AVERAGE(Notas!$Z$4:$Z$34),"")</f>
        <v/>
      </c>
      <c r="D17" s="24" t="s">
        <v>89</v>
      </c>
      <c r="E17" s="24" t="s">
        <v>90</v>
      </c>
    </row>
    <row r="18" spans="1:5" x14ac:dyDescent="0.25">
      <c r="A18" s="22" t="s">
        <v>91</v>
      </c>
      <c r="B18" s="28" t="str">
        <f>IFERROR(AVERAGE(Notas!$O$4:$O$34),"")</f>
        <v/>
      </c>
      <c r="D18" s="30" t="s">
        <v>92</v>
      </c>
      <c r="E18" s="23">
        <f>COUNTIFS(Notas!$AB$4:$AB$34,"&gt;="&amp;0,Notas!$AB$4:$AB$34,"&lt;"&amp;2)</f>
        <v>0</v>
      </c>
    </row>
    <row r="19" spans="1:5" x14ac:dyDescent="0.25">
      <c r="A19" s="22"/>
      <c r="B19" s="28"/>
      <c r="D19" s="30" t="s">
        <v>93</v>
      </c>
      <c r="E19" s="23">
        <f>COUNTIFS(Notas!$AB$4:$AB$34,"&gt;="&amp;2,Notas!$AB$4:$AB$34,"&lt;"&amp;3)</f>
        <v>0</v>
      </c>
    </row>
    <row r="20" spans="1:5" x14ac:dyDescent="0.25">
      <c r="A20" s="22"/>
      <c r="B20" s="28"/>
      <c r="D20" s="30" t="s">
        <v>94</v>
      </c>
      <c r="E20" s="23">
        <f>COUNTIFS(Notas!$AB$4:$AB$34,"&gt;="&amp;3,Notas!$AB$4:$AB$34,"&lt;"&amp;3.5)</f>
        <v>0</v>
      </c>
    </row>
    <row r="21" spans="1:5" x14ac:dyDescent="0.25">
      <c r="D21" s="30" t="s">
        <v>95</v>
      </c>
      <c r="E21" s="23">
        <f>COUNTIFS(Notas!$AB$4:$AB$34,"&gt;="&amp;3.5,Notas!$AB$4:$AB$34,"&lt;"&amp;4)</f>
        <v>0</v>
      </c>
    </row>
    <row r="22" spans="1:5" x14ac:dyDescent="0.25">
      <c r="D22" s="30" t="s">
        <v>96</v>
      </c>
      <c r="E22" s="23">
        <f>COUNTIFS(Notas!$AB$4:$AB$34,"&gt;="&amp;4,Notas!$AB$4:$AB$34,"&lt;"&amp;4.5)</f>
        <v>0</v>
      </c>
    </row>
    <row r="23" spans="1:5" x14ac:dyDescent="0.25">
      <c r="D23" s="30" t="s">
        <v>97</v>
      </c>
      <c r="E23" s="23">
        <f>COUNTIFS(Notas!$AB$4:$AB$34,"&gt;="&amp;4.5,Notas!$AB$4:$AB$34,"&lt;"&amp;5.01)</f>
        <v>0</v>
      </c>
    </row>
  </sheetData>
  <mergeCells count="5">
    <mergeCell ref="A1:F1"/>
    <mergeCell ref="A3:B3"/>
    <mergeCell ref="D3:F3"/>
    <mergeCell ref="A16:B16"/>
    <mergeCell ref="D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zoomScaleNormal="100" workbookViewId="0">
      <selection sqref="A1:C1"/>
    </sheetView>
  </sheetViews>
  <sheetFormatPr baseColWidth="10" defaultColWidth="8.7109375" defaultRowHeight="15" x14ac:dyDescent="0.25"/>
  <cols>
    <col min="1" max="1" width="32" customWidth="1"/>
    <col min="2" max="2" width="12" customWidth="1"/>
    <col min="3" max="3" width="70" customWidth="1"/>
  </cols>
  <sheetData>
    <row r="1" spans="1:3" ht="18" customHeight="1" x14ac:dyDescent="0.25">
      <c r="A1" s="46" t="s">
        <v>98</v>
      </c>
      <c r="B1" s="46"/>
      <c r="C1" s="46"/>
    </row>
    <row r="2" spans="1:3" ht="15" customHeight="1" x14ac:dyDescent="0.25"/>
    <row r="3" spans="1:3" ht="15" customHeight="1" x14ac:dyDescent="0.25">
      <c r="A3" s="31" t="s">
        <v>99</v>
      </c>
      <c r="B3" s="31" t="s">
        <v>100</v>
      </c>
      <c r="C3" s="31" t="s">
        <v>101</v>
      </c>
    </row>
    <row r="4" spans="1:3" ht="15" customHeight="1" x14ac:dyDescent="0.25">
      <c r="A4" s="32" t="s">
        <v>102</v>
      </c>
      <c r="B4" s="33">
        <v>0.5</v>
      </c>
      <c r="C4" s="32" t="s">
        <v>103</v>
      </c>
    </row>
    <row r="5" spans="1:3" ht="15" customHeight="1" x14ac:dyDescent="0.25">
      <c r="A5" s="32" t="s">
        <v>104</v>
      </c>
      <c r="B5" s="33">
        <v>0.5</v>
      </c>
      <c r="C5" s="32" t="s">
        <v>105</v>
      </c>
    </row>
    <row r="6" spans="1:3" ht="15" customHeight="1" x14ac:dyDescent="0.25">
      <c r="A6" s="34" t="s">
        <v>106</v>
      </c>
      <c r="B6" s="35">
        <f>SUM(B4:B5)</f>
        <v>1</v>
      </c>
      <c r="C6" t="str">
        <f>IF(B6=1,"Correcto","¡Los pesos no suman 100 %!")</f>
        <v>Correcto</v>
      </c>
    </row>
    <row r="7" spans="1:3" ht="15" customHeight="1" x14ac:dyDescent="0.25"/>
    <row r="8" spans="1:3" ht="18" customHeight="1" x14ac:dyDescent="0.25">
      <c r="A8" s="46" t="s">
        <v>107</v>
      </c>
      <c r="B8" s="46"/>
      <c r="C8" s="46"/>
    </row>
    <row r="9" spans="1:3" ht="15" customHeight="1" x14ac:dyDescent="0.25">
      <c r="A9" s="32" t="s">
        <v>108</v>
      </c>
      <c r="B9" s="36">
        <v>3</v>
      </c>
      <c r="C9" s="32" t="s">
        <v>109</v>
      </c>
    </row>
    <row r="10" spans="1:3" ht="15" customHeight="1" x14ac:dyDescent="0.25">
      <c r="A10" s="32" t="s">
        <v>26</v>
      </c>
      <c r="B10" s="36" t="s">
        <v>110</v>
      </c>
      <c r="C10" s="32" t="s">
        <v>111</v>
      </c>
    </row>
    <row r="11" spans="1:3" ht="15" customHeight="1" x14ac:dyDescent="0.25"/>
    <row r="12" spans="1:3" ht="18" customHeight="1" x14ac:dyDescent="0.25">
      <c r="A12" s="46" t="s">
        <v>112</v>
      </c>
      <c r="B12" s="46"/>
      <c r="C12" s="46"/>
    </row>
    <row r="13" spans="1:3" ht="15" customHeight="1" x14ac:dyDescent="0.25">
      <c r="A13" s="32" t="s">
        <v>113</v>
      </c>
      <c r="C13" s="32" t="s">
        <v>114</v>
      </c>
    </row>
  </sheetData>
  <mergeCells count="3">
    <mergeCell ref="A1:C1"/>
    <mergeCell ref="A8:C8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Notas</vt:lpstr>
      <vt:lpstr>Resumen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MigPerdomo06@gmail.com</cp:lastModifiedBy>
  <cp:revision>0</cp:revision>
  <dcterms:created xsi:type="dcterms:W3CDTF">2026-09-14T04:19:32Z</dcterms:created>
  <dcterms:modified xsi:type="dcterms:W3CDTF">2026-09-20T18:03:57Z</dcterms:modified>
  <dc:language>en-US</dc:language>
</cp:coreProperties>
</file>